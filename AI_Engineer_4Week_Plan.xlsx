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varia\Desktop\ML\"/>
    </mc:Choice>
  </mc:AlternateContent>
  <xr:revisionPtr revIDLastSave="0" documentId="13_ncr:1_{D45DD4B0-44CF-4286-939D-EAA79705DD54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Dashboard" sheetId="1" r:id="rId1"/>
    <sheet name="Week 1" sheetId="9" r:id="rId2"/>
    <sheet name="Week 2" sheetId="3" r:id="rId3"/>
    <sheet name="Week 3" sheetId="4" r:id="rId4"/>
    <sheet name="Week 4" sheetId="5" r:id="rId5"/>
    <sheet name="Projects" sheetId="6" r:id="rId6"/>
    <sheet name="Resources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9" i="1" l="1"/>
  <c r="E15" i="1"/>
  <c r="D15" i="1"/>
  <c r="H38" i="9"/>
  <c r="G38" i="9"/>
  <c r="H2" i="9"/>
  <c r="F2" i="9"/>
  <c r="H38" i="5"/>
  <c r="G38" i="5"/>
  <c r="H2" i="5"/>
  <c r="F2" i="5"/>
  <c r="H38" i="4"/>
  <c r="G38" i="4"/>
  <c r="H2" i="4"/>
  <c r="F2" i="4"/>
  <c r="H38" i="3"/>
  <c r="G38" i="3"/>
  <c r="H2" i="3"/>
  <c r="F2" i="3"/>
  <c r="F18" i="1"/>
  <c r="E18" i="1"/>
  <c r="D18" i="1"/>
  <c r="F17" i="1"/>
  <c r="E17" i="1"/>
  <c r="D17" i="1"/>
  <c r="F16" i="1"/>
  <c r="E16" i="1"/>
  <c r="D16" i="1"/>
  <c r="F15" i="1"/>
  <c r="D19" i="1" l="1"/>
  <c r="F19" i="1" s="1"/>
</calcChain>
</file>

<file path=xl/sharedStrings.xml><?xml version="1.0" encoding="utf-8"?>
<sst xmlns="http://schemas.openxmlformats.org/spreadsheetml/2006/main" count="942" uniqueCount="559">
  <si>
    <t>AI Engineer — 4-Week Trackable Plan</t>
  </si>
  <si>
    <t>4 hours weekdays · 6 hours weekends · 32 hours/week · 128 hours total</t>
  </si>
  <si>
    <t>HOW TO USE</t>
  </si>
  <si>
    <t>1. Fill in the 'Week of' date on each Week sheet (Monday's date).</t>
  </si>
  <si>
    <t>2. Each row is a 1-hour block. Update the 'Status' dropdown as you progress (Not Started / In Progress / Done / Skipped).</t>
  </si>
  <si>
    <t>3. Log actual time spent in column H. Use Notes (column I) to capture key learnings, links to your work, or questions.</t>
  </si>
  <si>
    <t>4. The Dashboard auto-updates from each Week sheet — total hours, completion %, hours by week.</t>
  </si>
  <si>
    <t>5. The Projects sheet tracks the four capstone projects — keep links to your GitHub repos and blog posts there.</t>
  </si>
  <si>
    <t>6. The Resources sheet is your curated link library. Add to it as you find good content.</t>
  </si>
  <si>
    <t>WEEKLY PROGRESS</t>
  </si>
  <si>
    <t>Week</t>
  </si>
  <si>
    <t>Theme</t>
  </si>
  <si>
    <t>Planned Hours</t>
  </si>
  <si>
    <t>Hours Done</t>
  </si>
  <si>
    <t>Tasks Done</t>
  </si>
  <si>
    <t>Completion %</t>
  </si>
  <si>
    <t>Week 1</t>
  </si>
  <si>
    <t>RAG Mastery</t>
  </si>
  <si>
    <t>Week 2</t>
  </si>
  <si>
    <t>Agents &amp; Orchestration</t>
  </si>
  <si>
    <t>Week 3</t>
  </si>
  <si>
    <t>Evals, Fine-tuning, Optimization</t>
  </si>
  <si>
    <t>Week 4</t>
  </si>
  <si>
    <t>Production &amp; Shipping</t>
  </si>
  <si>
    <t>TOTAL</t>
  </si>
  <si>
    <t>All weeks</t>
  </si>
  <si>
    <t>CAPSTONE PROJECTS</t>
  </si>
  <si>
    <t>Project</t>
  </si>
  <si>
    <t>Description</t>
  </si>
  <si>
    <t>Deliverable</t>
  </si>
  <si>
    <t>Status</t>
  </si>
  <si>
    <t>Link</t>
  </si>
  <si>
    <t>Production-grade RAG system</t>
  </si>
  <si>
    <t>Hybrid search + reranking + contextual retrieval over 1K+ docs with citations</t>
  </si>
  <si>
    <t>Deployed endpoint + small eval set + write-up</t>
  </si>
  <si>
    <t>Not Started</t>
  </si>
  <si>
    <t>Multi-tool agent</t>
  </si>
  <si>
    <t>LangGraph agent with 3-5 tools, memory, streaming UI, HITL</t>
  </si>
  <si>
    <t>Deployed agent + demo video + GitHub</t>
  </si>
  <si>
    <t>Eval suite + fine-tuned model</t>
  </si>
  <si>
    <t>100+ item eval suite, LLM judge, fine-tuned Llama-3-8B compared to baselines</t>
  </si>
  <si>
    <t>HF model + evals repo + benchmark blog</t>
  </si>
  <si>
    <t>Polished AI product</t>
  </si>
  <si>
    <t>Full Next.js + backend, observability, guardrails, deployed publicly</t>
  </si>
  <si>
    <t>Public launch (HN/Twitter/LinkedIn)</t>
  </si>
  <si>
    <t>Week of:</t>
  </si>
  <si>
    <t>Hours completed:</t>
  </si>
  <si>
    <t>Status %:</t>
  </si>
  <si>
    <t>Day</t>
  </si>
  <si>
    <t>Date</t>
  </si>
  <si>
    <t>Block</t>
  </si>
  <si>
    <t>Topic</t>
  </si>
  <si>
    <t>Task</t>
  </si>
  <si>
    <t>Resources</t>
  </si>
  <si>
    <t>Time Spent (h)</t>
  </si>
  <si>
    <t>Notes</t>
  </si>
  <si>
    <t>Mon</t>
  </si>
  <si>
    <t>Hr 1</t>
  </si>
  <si>
    <t>Hr 2</t>
  </si>
  <si>
    <t>Hr 3</t>
  </si>
  <si>
    <t>Hr 4</t>
  </si>
  <si>
    <t>Tue</t>
  </si>
  <si>
    <t>Chroma docs</t>
  </si>
  <si>
    <t>Wed</t>
  </si>
  <si>
    <t>Thu</t>
  </si>
  <si>
    <t>Fri</t>
  </si>
  <si>
    <t>Sat</t>
  </si>
  <si>
    <t>Hr 5</t>
  </si>
  <si>
    <t>Hr 6</t>
  </si>
  <si>
    <t>Sun</t>
  </si>
  <si>
    <t>TOTALS</t>
  </si>
  <si>
    <t>AI Engineer — Week 2: Agents &amp; Orchestration</t>
  </si>
  <si>
    <t>Tool use refresher</t>
  </si>
  <si>
    <t>OpenAI vs Anthropic function calling - schema, response</t>
  </si>
  <si>
    <t>OpenAI + Anthropic tool use docs</t>
  </si>
  <si>
    <t>Parallel tool calls</t>
  </si>
  <si>
    <t>When supported, latency benefits, ordering</t>
  </si>
  <si>
    <t>Anthropic parallel tool use docs</t>
  </si>
  <si>
    <t>Streaming with tools</t>
  </si>
  <si>
    <t>SSE patterns, partial JSON, UX implications</t>
  </si>
  <si>
    <t>OpenAI streaming docs</t>
  </si>
  <si>
    <t>Error handling</t>
  </si>
  <si>
    <t>Tool failures, retries, fallbacks, validation</t>
  </si>
  <si>
    <t>Tool use best practices posts</t>
  </si>
  <si>
    <t>LangGraph concepts</t>
  </si>
  <si>
    <t>State, nodes, edges, graphs vs chains</t>
  </si>
  <si>
    <t>LangGraph docs intro</t>
  </si>
  <si>
    <t>Simple agent</t>
  </si>
  <si>
    <t>Build a ReAct-style loop with one tool</t>
  </si>
  <si>
    <t>LangGraph tutorials</t>
  </si>
  <si>
    <t>Conditional edges &amp; cycles</t>
  </si>
  <si>
    <t>Routing, loops, termination conditions</t>
  </si>
  <si>
    <t>LangGraph control flow docs</t>
  </si>
  <si>
    <t>Persistence &amp; checkpoints</t>
  </si>
  <si>
    <t>Save/resume state, time-travel debugging</t>
  </si>
  <si>
    <t>LangGraph persistence docs</t>
  </si>
  <si>
    <t>Human-in-the-loop</t>
  </si>
  <si>
    <t>Interrupts, approval gates, edits</t>
  </si>
  <si>
    <t>LangGraph HITL docs</t>
  </si>
  <si>
    <t>Streaming</t>
  </si>
  <si>
    <t>Stream tokens, intermediate states, tool calls</t>
  </si>
  <si>
    <t>LangGraph streaming docs</t>
  </si>
  <si>
    <t>Subgraphs</t>
  </si>
  <si>
    <t>Composition, encapsulation patterns</t>
  </si>
  <si>
    <t>LangGraph subgraphs docs</t>
  </si>
  <si>
    <t>LangGraph Studio</t>
  </si>
  <si>
    <t>Visual debugging, replays, traces</t>
  </si>
  <si>
    <t>LangGraph Studio docs</t>
  </si>
  <si>
    <t>When multi-agent?</t>
  </si>
  <si>
    <t>Honest assessment: it's often overkill - read Anthropic posts</t>
  </si>
  <si>
    <t>Anthropic 'Building effective agents'</t>
  </si>
  <si>
    <t>CrewAI</t>
  </si>
  <si>
    <t>Roles, tasks, processes - hierarchical orchestration</t>
  </si>
  <si>
    <t>CrewAI docs</t>
  </si>
  <si>
    <t>AutoGen</t>
  </si>
  <si>
    <t>Conversable agents, group chat patterns</t>
  </si>
  <si>
    <t>AutoGen docs</t>
  </si>
  <si>
    <t>Supervisor patterns</t>
  </si>
  <si>
    <t>Plan-execute, orchestrator-worker in LangGraph</t>
  </si>
  <si>
    <t>LangGraph multi-agent docs</t>
  </si>
  <si>
    <t>MCP protocol</t>
  </si>
  <si>
    <t>What MCP is, why it matters, client/server model</t>
  </si>
  <si>
    <t>Anthropic MCP docs</t>
  </si>
  <si>
    <t>Build MCP server</t>
  </si>
  <si>
    <t>Build a small MCP server exposing a tool</t>
  </si>
  <si>
    <t>MCP SDK examples</t>
  </si>
  <si>
    <t>Memory: short-term</t>
  </si>
  <si>
    <t>Conversation buffers, summarization memory</t>
  </si>
  <si>
    <t>LangChain Memory docs</t>
  </si>
  <si>
    <t>Memory: long-term</t>
  </si>
  <si>
    <t>Vector-store memory, episodic, semantic memory</t>
  </si>
  <si>
    <t>Mem0 / Letta docs</t>
  </si>
  <si>
    <t>Agent design</t>
  </si>
  <si>
    <t>Pick a useful agent (e.g., research assistant, code reviewer)</t>
  </si>
  <si>
    <t>Existing examples for inspiration</t>
  </si>
  <si>
    <t>Define state &amp; tools</t>
  </si>
  <si>
    <t>State schema, tools list, prompts</t>
  </si>
  <si>
    <t>LangGraph design patterns</t>
  </si>
  <si>
    <t>Build core loop</t>
  </si>
  <si>
    <t>Implement basic ReAct loop in LangGraph</t>
  </si>
  <si>
    <t>Your week's LangGraph notes</t>
  </si>
  <si>
    <t>Add 3-5 tools</t>
  </si>
  <si>
    <t>Search, retrieval, code exec, file IO etc.</t>
  </si>
  <si>
    <t>LangChain tool library</t>
  </si>
  <si>
    <t>Test happy paths</t>
  </si>
  <si>
    <t>Run 5-10 example queries, debug</t>
  </si>
  <si>
    <t>LangSmith for traces</t>
  </si>
  <si>
    <t>Iterate</t>
  </si>
  <si>
    <t>Refine prompts and routing based on failures</t>
  </si>
  <si>
    <t>Your trace logs</t>
  </si>
  <si>
    <t>Add memory</t>
  </si>
  <si>
    <t>Persist conversation, add long-term store</t>
  </si>
  <si>
    <t>Your memory choice from Fri</t>
  </si>
  <si>
    <t>Edge cases</t>
  </si>
  <si>
    <t>Tool failures, infinite loops, bad outputs</t>
  </si>
  <si>
    <t>Best-practices articles</t>
  </si>
  <si>
    <t>Streaming UI</t>
  </si>
  <si>
    <t>Wire up streaming + intermediate state to a UI</t>
  </si>
  <si>
    <t>Vercel AI SDK or similar</t>
  </si>
  <si>
    <t>Deploy</t>
  </si>
  <si>
    <t>Deploy backend (Modal/fly.io) + frontend (Vercel)</t>
  </si>
  <si>
    <t>Each platform's docs</t>
  </si>
  <si>
    <t>Demo video</t>
  </si>
  <si>
    <t>Record 2-min Loom showing the agent solving a task</t>
  </si>
  <si>
    <t>Loom</t>
  </si>
  <si>
    <t>Write-up</t>
  </si>
  <si>
    <t>Blog post + GitHub README with architecture diagram</t>
  </si>
  <si>
    <t>Your blog</t>
  </si>
  <si>
    <t>AI Engineer — Week 3: Evals, Fine-tuning, Optimization</t>
  </si>
  <si>
    <t>Why evals?</t>
  </si>
  <si>
    <t>Eval &gt; prompt-tuning instinct; Hamel's eval-driven dev</t>
  </si>
  <si>
    <t>Hamel Husain 'Your AI Product Needs Evals'</t>
  </si>
  <si>
    <t>RAGAS</t>
  </si>
  <si>
    <t>Faithfulness, answer relevancy, context precision/recall</t>
  </si>
  <si>
    <t>RAGAS docs</t>
  </si>
  <si>
    <t>DeepEval</t>
  </si>
  <si>
    <t>Pytest-style LLM evals, summarization tests, hallucination</t>
  </si>
  <si>
    <t>DeepEval docs</t>
  </si>
  <si>
    <t>Promptfoo &amp; others</t>
  </si>
  <si>
    <t>Promptfoo, Inspect AI, Braintrust - landscape</t>
  </si>
  <si>
    <t>Each tool's homepage</t>
  </si>
  <si>
    <t>Eval pipeline design</t>
  </si>
  <si>
    <t>Golden set creation, version control for evals</t>
  </si>
  <si>
    <t>Eugene Yan eval posts</t>
  </si>
  <si>
    <t>Pairwise comparison</t>
  </si>
  <si>
    <t>Side-by-side rating, win rate metrics</t>
  </si>
  <si>
    <t>Vicuna/MT-Bench style</t>
  </si>
  <si>
    <t>Regression testing</t>
  </si>
  <si>
    <t>Snapshot tests for LLMs, CI integration</t>
  </si>
  <si>
    <t>Promptfoo CI examples</t>
  </si>
  <si>
    <t>Build eval suite</t>
  </si>
  <si>
    <t>Create 30-50 item eval set for your Week 1 RAG</t>
  </si>
  <si>
    <t>Your RAG project</t>
  </si>
  <si>
    <t>Judge methodology</t>
  </si>
  <si>
    <t>Score rubrics, calibration with humans</t>
  </si>
  <si>
    <t>G-Eval paper; LLM-as-judge survey</t>
  </si>
  <si>
    <t>Pitfalls</t>
  </si>
  <si>
    <t>Position bias, length bias, self-preference</t>
  </si>
  <si>
    <t>Bias studies in LLM judging</t>
  </si>
  <si>
    <t>Calibrating judges</t>
  </si>
  <si>
    <t>Confidence intervals, multi-judge ensembles</t>
  </si>
  <si>
    <t>Inter-rater reliability methods</t>
  </si>
  <si>
    <t>Practice</t>
  </si>
  <si>
    <t>Build a judge, validate on 20 human-labeled samples</t>
  </si>
  <si>
    <t>Your labeled set</t>
  </si>
  <si>
    <t>When to fine-tune</t>
  </si>
  <si>
    <t>FT vs RAG vs prompting decision framework</t>
  </si>
  <si>
    <t>OpenAI FT guide; Hamel's posts</t>
  </si>
  <si>
    <t>LoRA / QLoRA theory</t>
  </si>
  <si>
    <t>Low-rank adapters, math behind, what hyperparams matter</t>
  </si>
  <si>
    <t>LoRA / QLoRA papers</t>
  </si>
  <si>
    <t>PEFT library</t>
  </si>
  <si>
    <t>HuggingFace PEFT walkthrough, configs</t>
  </si>
  <si>
    <t>PEFT docs</t>
  </si>
  <si>
    <t>Unsloth setup</t>
  </si>
  <si>
    <t>Faster FT on consumer GPUs, Colab notebook setup</t>
  </si>
  <si>
    <t>Unsloth GitHub README</t>
  </si>
  <si>
    <t>Dataset prep</t>
  </si>
  <si>
    <t>Format SFT data, chat templates, eval split</t>
  </si>
  <si>
    <t>HuggingFace datasets docs</t>
  </si>
  <si>
    <t>Run fine-tune</t>
  </si>
  <si>
    <t>FT a Llama-3-8B or Qwen on a narrow task</t>
  </si>
  <si>
    <t>Unsloth notebooks</t>
  </si>
  <si>
    <t>Evaluate</t>
  </si>
  <si>
    <t>Run your eval suite on base vs fine-tuned</t>
  </si>
  <si>
    <t>Your suite from Tuesday</t>
  </si>
  <si>
    <t>Publish to HF</t>
  </si>
  <si>
    <t>Upload model to HuggingFace Hub with model card</t>
  </si>
  <si>
    <t>HF Hub docs</t>
  </si>
  <si>
    <t>Prompt caching</t>
  </si>
  <si>
    <t>Anthropic prompt caching, OpenAI cached input</t>
  </si>
  <si>
    <t>Provider docs</t>
  </si>
  <si>
    <t>Model routing</t>
  </si>
  <si>
    <t>Cheap model first, expensive fallback, classifiers</t>
  </si>
  <si>
    <t>Martian / RouteLLM concepts</t>
  </si>
  <si>
    <t>Batching</t>
  </si>
  <si>
    <t>Batch APIs (50% discount), async batches</t>
  </si>
  <si>
    <t>OpenAI/Anthropic batch APIs</t>
  </si>
  <si>
    <t>Streaming UX</t>
  </si>
  <si>
    <t>TTFT vs total latency, streaming UI patterns</t>
  </si>
  <si>
    <t>Vercel AI SDK streaming</t>
  </si>
  <si>
    <t>Speculative decoding</t>
  </si>
  <si>
    <t>Concept awareness, when providers use it</t>
  </si>
  <si>
    <t>Papers + provider posts</t>
  </si>
  <si>
    <t>Apply optimizations</t>
  </si>
  <si>
    <t>Add caching + routing to one of your projects</t>
  </si>
  <si>
    <t>Your code</t>
  </si>
  <si>
    <t>Project scoping</t>
  </si>
  <si>
    <t>Define a narrow task where FT could help</t>
  </si>
  <si>
    <t>Pick a task</t>
  </si>
  <si>
    <t>Eval suite (real)</t>
  </si>
  <si>
    <t>Build comprehensive 100+ item eval with judge</t>
  </si>
  <si>
    <t>Your stack</t>
  </si>
  <si>
    <t>Baseline runs</t>
  </si>
  <si>
    <t>Measure GPT-4, Claude, Llama base on eval</t>
  </si>
  <si>
    <t>Your eval harness</t>
  </si>
  <si>
    <t>Fine-tune small</t>
  </si>
  <si>
    <t>Fine-tune Llama-3-8B; track in W&amp;B</t>
  </si>
  <si>
    <t>Unsloth + W&amp;B</t>
  </si>
  <si>
    <t>Compare</t>
  </si>
  <si>
    <t>Plot results: cost, latency, accuracy across configs</t>
  </si>
  <si>
    <t>matplotlib</t>
  </si>
  <si>
    <t>Write up</t>
  </si>
  <si>
    <t>Blog: 'Fine-tuning vs RAG vs prompting on X' with data</t>
  </si>
  <si>
    <t>AI Engineer — Week 4: Production &amp; Shipping</t>
  </si>
  <si>
    <t>Why observability?</t>
  </si>
  <si>
    <t>Drift, regressions, debugging - LLM-specific needs</t>
  </si>
  <si>
    <t>Langfuse blog / LangSmith intro</t>
  </si>
  <si>
    <t>LangSmith</t>
  </si>
  <si>
    <t>Traces, datasets, online evals, hub</t>
  </si>
  <si>
    <t>LangSmith docs</t>
  </si>
  <si>
    <t>Langfuse</t>
  </si>
  <si>
    <t>Open-source alternative, self-hosting, scoring</t>
  </si>
  <si>
    <t>Langfuse docs</t>
  </si>
  <si>
    <t>Wire it up</t>
  </si>
  <si>
    <t>Add observability to your Week 2 agent</t>
  </si>
  <si>
    <t>Either platform + your code</t>
  </si>
  <si>
    <t>Structured outputs</t>
  </si>
  <si>
    <t>JSON mode, function calling for structure, Pydantic</t>
  </si>
  <si>
    <t>Instructor library docs</t>
  </si>
  <si>
    <t>NeMo Guardrails</t>
  </si>
  <si>
    <t>Programmable rules, dialog flows, fact-checking</t>
  </si>
  <si>
    <t>NeMo Guardrails docs</t>
  </si>
  <si>
    <t>Guardrails AI</t>
  </si>
  <si>
    <t>Validators, RAIL spec, hallucination checks</t>
  </si>
  <si>
    <t>Guardrails AI docs</t>
  </si>
  <si>
    <t>Validation patterns</t>
  </si>
  <si>
    <t>Output schema, retry-on-fail, classifier filters</t>
  </si>
  <si>
    <t>Pydantic + custom validators</t>
  </si>
  <si>
    <t>OWASP LLM Top 10</t>
  </si>
  <si>
    <t>Read full list, understand each risk</t>
  </si>
  <si>
    <t>OWASP LLM Top 10 docs</t>
  </si>
  <si>
    <t>Prompt injection</t>
  </si>
  <si>
    <t>Direct vs indirect, defenses, why it's unsolved</t>
  </si>
  <si>
    <t>Simon Willison's prompt injection posts</t>
  </si>
  <si>
    <t>PII &amp; data handling</t>
  </si>
  <si>
    <t>Detection, redaction, masking, compliance basics</t>
  </si>
  <si>
    <t>Microsoft Presidio docs</t>
  </si>
  <si>
    <t>Audit a project</t>
  </si>
  <si>
    <t>Apply security checklist to your agent project</t>
  </si>
  <si>
    <t>OWASP checklist</t>
  </si>
  <si>
    <t>Modal</t>
  </si>
  <si>
    <t>Serverless GPU, function deployment patterns</t>
  </si>
  <si>
    <t>Modal docs</t>
  </si>
  <si>
    <t>Replicate</t>
  </si>
  <si>
    <t>Cog, model deployment, when it fits</t>
  </si>
  <si>
    <t>Replicate docs</t>
  </si>
  <si>
    <t>fly.io / Railway</t>
  </si>
  <si>
    <t>App platforms for AI backends, regions, scaling</t>
  </si>
  <si>
    <t>fly.io docs</t>
  </si>
  <si>
    <t>Vercel for Next.js</t>
  </si>
  <si>
    <t>Edge functions, AI SDK integration, streaming</t>
  </si>
  <si>
    <t>Vercel + AI SDK docs</t>
  </si>
  <si>
    <t>Vercel AI SDK</t>
  </si>
  <si>
    <t>useChat, useCompletion, server actions, RSC</t>
  </si>
  <si>
    <t>Vercel AI SDK docs</t>
  </si>
  <si>
    <t>Token-by-token, tool calls, generative UI</t>
  </si>
  <si>
    <t>AI SDK examples</t>
  </si>
  <si>
    <t>shadcn/ui basics</t>
  </si>
  <si>
    <t>Component install, theming, copy-paste philosophy</t>
  </si>
  <si>
    <t>shadcn/ui docs</t>
  </si>
  <si>
    <t>Polish existing app</t>
  </si>
  <si>
    <t>Apply polish to a Week 1-3 project's frontend</t>
  </si>
  <si>
    <t>Define capstone</t>
  </si>
  <si>
    <t>Pick a useful AI product you'd actually use</t>
  </si>
  <si>
    <t>Your problem ideas</t>
  </si>
  <si>
    <t>Scope ruthlessly</t>
  </si>
  <si>
    <t>MVP scope, what to cut, success criteria</t>
  </si>
  <si>
    <t>'Inspired' / scoping articles</t>
  </si>
  <si>
    <t>Backend setup</t>
  </si>
  <si>
    <t>Set up project, API routes, model calls</t>
  </si>
  <si>
    <t>Next.js / FastAPI</t>
  </si>
  <si>
    <t>Core feature: build</t>
  </si>
  <si>
    <t>Implement core RAG/agent loop</t>
  </si>
  <si>
    <t>Frontend scaffold</t>
  </si>
  <si>
    <t>Build the chat/main UI with shadcn/ui</t>
  </si>
  <si>
    <t>shadcn/ui blocks</t>
  </si>
  <si>
    <t>Wire end-to-end</t>
  </si>
  <si>
    <t>Connect frontend ↔ backend, basic auth</t>
  </si>
  <si>
    <t>Clerk for auth</t>
  </si>
  <si>
    <t>Observability</t>
  </si>
  <si>
    <t>Add tracing (LangSmith/Langfuse)</t>
  </si>
  <si>
    <t>Your observability choice</t>
  </si>
  <si>
    <t>Eval gates</t>
  </si>
  <si>
    <t>Add CI evals from Week 3 patterns</t>
  </si>
  <si>
    <t>Promptfoo or custom</t>
  </si>
  <si>
    <t>Deploy backend</t>
  </si>
  <si>
    <t>Deploy to Modal / Railway / fly.io</t>
  </si>
  <si>
    <t>Platform docs</t>
  </si>
  <si>
    <t>Deploy frontend</t>
  </si>
  <si>
    <t>Vercel deploy, env vars, domain</t>
  </si>
  <si>
    <t>Vercel docs</t>
  </si>
  <si>
    <t>Demo + content</t>
  </si>
  <si>
    <t>Record demo video, screenshots, marketing copy</t>
  </si>
  <si>
    <t>Loom + Canva</t>
  </si>
  <si>
    <t>Publish</t>
  </si>
  <si>
    <t>Tweet/LinkedIn launch, post to Hacker News, blog post</t>
  </si>
  <si>
    <t>Where your audience lives</t>
  </si>
  <si>
    <t>Capstone Projects — Detail</t>
  </si>
  <si>
    <t>Project Name</t>
  </si>
  <si>
    <t>Requirements</t>
  </si>
  <si>
    <t>GitHub / Blog Link</t>
  </si>
  <si>
    <t>Vector DB + LLM API access</t>
  </si>
  <si>
    <t>Week 1 RAG (use as a tool)</t>
  </si>
  <si>
    <t>Compute (Colab Pro or Modal)</t>
  </si>
  <si>
    <t>All prior weeks</t>
  </si>
  <si>
    <t>Curated Resources</t>
  </si>
  <si>
    <t>Category</t>
  </si>
  <si>
    <t>Resource</t>
  </si>
  <si>
    <t>Source / URL</t>
  </si>
  <si>
    <t>Foundational</t>
  </si>
  <si>
    <t>anthropic.com/research</t>
  </si>
  <si>
    <t>Read this twice</t>
  </si>
  <si>
    <t>AI Engineer's Handbook</t>
  </si>
  <si>
    <t>—</t>
  </si>
  <si>
    <t>Paco Nathan's writings; AI Engineer Summit talks</t>
  </si>
  <si>
    <t>OpenAI Cookbook</t>
  </si>
  <si>
    <t>github.com/openai/openai-cookbook</t>
  </si>
  <si>
    <t>Battle-tested patterns</t>
  </si>
  <si>
    <t>Anthropic Cookbook</t>
  </si>
  <si>
    <t>github.com/anthropics/anthropic-cookbook</t>
  </si>
  <si>
    <t>Tool use, agents, evals</t>
  </si>
  <si>
    <t>Blogs - Must Read</t>
  </si>
  <si>
    <t>Hamel Husain's blog</t>
  </si>
  <si>
    <t>hamel.dev</t>
  </si>
  <si>
    <t>Evals + AI engineering; the GOAT</t>
  </si>
  <si>
    <t>Eugene Yan's blog</t>
  </si>
  <si>
    <t>eugeneyan.com</t>
  </si>
  <si>
    <t>Patterns, evals, production</t>
  </si>
  <si>
    <t>Simon Willison's blog</t>
  </si>
  <si>
    <t>simonwillison.net</t>
  </si>
  <si>
    <t>Daily LLM news + experiments</t>
  </si>
  <si>
    <t>Latent Space</t>
  </si>
  <si>
    <t>latent.space</t>
  </si>
  <si>
    <t>Podcast + posts, AI Engineer focused</t>
  </si>
  <si>
    <t>Chip Huyen's blog</t>
  </si>
  <si>
    <t>huyenchip.com</t>
  </si>
  <si>
    <t>RAG/agents/LLMOps</t>
  </si>
  <si>
    <t>Frameworks</t>
  </si>
  <si>
    <t>LangChain docs</t>
  </si>
  <si>
    <t>python.langchain.com</t>
  </si>
  <si>
    <t>Reference, not bible</t>
  </si>
  <si>
    <t>LangGraph docs</t>
  </si>
  <si>
    <t>langchain-ai.github.io/langgraph</t>
  </si>
  <si>
    <t>For agentic workflows</t>
  </si>
  <si>
    <t>LlamaIndex docs</t>
  </si>
  <si>
    <t>docs.llamaindex.ai</t>
  </si>
  <si>
    <t>RAG-focused alternative</t>
  </si>
  <si>
    <t>sdk.vercel.ai</t>
  </si>
  <si>
    <t>Frontend integration</t>
  </si>
  <si>
    <t>Vector DBs</t>
  </si>
  <si>
    <t>Pinecone Learn</t>
  </si>
  <si>
    <t>pinecone.io/learn</t>
  </si>
  <si>
    <t>Free vector DB course</t>
  </si>
  <si>
    <t>Weaviate Academy</t>
  </si>
  <si>
    <t>weaviate.io/developers/academy</t>
  </si>
  <si>
    <t>Free, thorough</t>
  </si>
  <si>
    <t>docs.trychroma.com</t>
  </si>
  <si>
    <t>Local-first vector DB</t>
  </si>
  <si>
    <t>Evals</t>
  </si>
  <si>
    <t>Hamel's eval posts</t>
  </si>
  <si>
    <t>hamel.dev/blog</t>
  </si>
  <si>
    <t>Start with 'Your AI Product Needs Evals'</t>
  </si>
  <si>
    <t>docs.ragas.io</t>
  </si>
  <si>
    <t>RAG eval framework</t>
  </si>
  <si>
    <t>Promptfoo docs</t>
  </si>
  <si>
    <t>promptfoo.dev</t>
  </si>
  <si>
    <t>Eval framework with CI</t>
  </si>
  <si>
    <t>Inspect AI</t>
  </si>
  <si>
    <t>inspect.ai-safety-institute.org.uk</t>
  </si>
  <si>
    <t>Safety-grade evals</t>
  </si>
  <si>
    <t>Fine-tuning</t>
  </si>
  <si>
    <t>github.com/unslothai/unsloth</t>
  </si>
  <si>
    <t>Fast FT on consumer GPUs</t>
  </si>
  <si>
    <t>HF PEFT docs</t>
  </si>
  <si>
    <t>huggingface.co/docs/peft</t>
  </si>
  <si>
    <t>LoRA/QLoRA library</t>
  </si>
  <si>
    <t>Axolotl</t>
  </si>
  <si>
    <t>github.com/OpenAccess-AI-Collective/axolotl</t>
  </si>
  <si>
    <t>Config-driven FT</t>
  </si>
  <si>
    <t>Deployment</t>
  </si>
  <si>
    <t>modal.com</t>
  </si>
  <si>
    <t>Serverless GPU</t>
  </si>
  <si>
    <t>replicate.com</t>
  </si>
  <si>
    <t>Model deployment</t>
  </si>
  <si>
    <t>fly.io</t>
  </si>
  <si>
    <t>App platform</t>
  </si>
  <si>
    <t>smith.langchain.com</t>
  </si>
  <si>
    <t>Hosted LLM ops</t>
  </si>
  <si>
    <t>langfuse.com</t>
  </si>
  <si>
    <t>OSS alternative</t>
  </si>
  <si>
    <t>Helicone</t>
  </si>
  <si>
    <t>helicone.ai</t>
  </si>
  <si>
    <t>Drop-in proxy observability</t>
  </si>
  <si>
    <t>Communities</t>
  </si>
  <si>
    <t>AI Engineer Summit</t>
  </si>
  <si>
    <t>ai.engineer</t>
  </si>
  <si>
    <t>Conference talks (free)</t>
  </si>
  <si>
    <t>r/LocalLLaMA</t>
  </si>
  <si>
    <t>reddit.com/r/LocalLLaMA</t>
  </si>
  <si>
    <t>Open-source LLM news</t>
  </si>
  <si>
    <t>Latent Space Discord</t>
  </si>
  <si>
    <t>Active AI engineer community</t>
  </si>
  <si>
    <t>AI Engineer — Week 1: Production-grade RAG system</t>
  </si>
  <si>
    <t>Embeddings refresher</t>
  </si>
  <si>
    <t>Vector similarity, cosine vs dot product, normalization</t>
  </si>
  <si>
    <t>Sentence Transformers docs; Cohere embed guide</t>
  </si>
  <si>
    <t>Pinecone basics</t>
  </si>
  <si>
    <t>Indexes, namespaces, upsert, query, metadata filtering</t>
  </si>
  <si>
    <t>Pinecone Quickstart</t>
  </si>
  <si>
    <t>Pinecone advanced</t>
  </si>
  <si>
    <t>Hybrid search, sparse vectors, serverless tier</t>
  </si>
  <si>
    <t>Pinecone hybrid docs</t>
  </si>
  <si>
    <t>Basic RAG build</t>
  </si>
  <si>
    <t>End-to-end RAG over a small doc set with Pinecone</t>
  </si>
  <si>
    <t>Pinecone + OpenAI examples</t>
  </si>
  <si>
    <t>Weaviate</t>
  </si>
  <si>
    <t>Schema, modules, hybrid search, GraphQL queries</t>
  </si>
  <si>
    <t>Weaviate Quickstart</t>
  </si>
  <si>
    <t>Chroma</t>
  </si>
  <si>
    <t>Local-first, simplicity, where it fits</t>
  </si>
  <si>
    <t>pgvector</t>
  </si>
  <si>
    <t>Postgres extension, when self-hosting makes sense</t>
  </si>
  <si>
    <t>pgvector GitHub</t>
  </si>
  <si>
    <t>Decision framework</t>
  </si>
  <si>
    <t>Build a comparison table: latency/cost/features by DB</t>
  </si>
  <si>
    <t>Vector DB comparison blogs</t>
  </si>
  <si>
    <t>Embedding model landscape</t>
  </si>
  <si>
    <t>OpenAI text-embedding-3, Cohere, Voyage AI</t>
  </si>
  <si>
    <t>Each provider's docs</t>
  </si>
  <si>
    <t>Open-source embeddings</t>
  </si>
  <si>
    <t>BGE, E5, GTE families - tradeoffs, sizes</t>
  </si>
  <si>
    <t>HuggingFace model cards</t>
  </si>
  <si>
    <t>MTEB benchmark</t>
  </si>
  <si>
    <t>Read leaderboard, understand task-specific performance</t>
  </si>
  <si>
    <t>MTEB leaderboard on HF</t>
  </si>
  <si>
    <t>Fine-tuning embeddings</t>
  </si>
  <si>
    <t>When/how to fine-tune; sentence-transformers training</t>
  </si>
  <si>
    <t>sentence-transformers docs</t>
  </si>
  <si>
    <t>Chunking overview</t>
  </si>
  <si>
    <t>Fixed-size, recursive, semantic - tradeoffs</t>
  </si>
  <si>
    <t>LangChain text splitters docs</t>
  </si>
  <si>
    <t>Advanced chunking</t>
  </si>
  <si>
    <t>Parent-document, small-to-big, sentence-window</t>
  </si>
  <si>
    <t>LlamaIndex node parsers</t>
  </si>
  <si>
    <t>Contextual Retrieval</t>
  </si>
  <si>
    <t>Anthropic's technique: prepend doc-level context to chunks</t>
  </si>
  <si>
    <t>Anthropic Contextual Retrieval post</t>
  </si>
  <si>
    <t>Implement</t>
  </si>
  <si>
    <t>Apply 3 strategies to same corpus, compare retrieval quality</t>
  </si>
  <si>
    <t>Use your own dataset</t>
  </si>
  <si>
    <t>BM25 fundamentals</t>
  </si>
  <si>
    <t>TF-IDF refresher, why lexical still matters</t>
  </si>
  <si>
    <t>Elasticsearch BM25 docs</t>
  </si>
  <si>
    <t>RRF &amp; hybrid scoring</t>
  </si>
  <si>
    <t>Reciprocal Rank Fusion, weighted combinations</t>
  </si>
  <si>
    <t>RRF paper; Elastic blog</t>
  </si>
  <si>
    <t>Cohere Rerank</t>
  </si>
  <si>
    <t>How rerankers work, API usage, latency cost</t>
  </si>
  <si>
    <t>Cohere Rerank docs</t>
  </si>
  <si>
    <t>Cross-encoders</t>
  </si>
  <si>
    <t>Local rerankers (bge-reranker, ms-marco), when to use</t>
  </si>
  <si>
    <t>sentence-transformers cross-encoders</t>
  </si>
  <si>
    <t>HyDE</t>
  </si>
  <si>
    <t>Hypothetical Document Embeddings - query transformation</t>
  </si>
  <si>
    <t>HyDE paper / blog explanation</t>
  </si>
  <si>
    <t>Multi-query</t>
  </si>
  <si>
    <t>Generate query variations, fuse results</t>
  </si>
  <si>
    <t>LangChain MultiQueryRetriever</t>
  </si>
  <si>
    <t>Self-querying retrievers</t>
  </si>
  <si>
    <t>Extract metadata filters from natural language</t>
  </si>
  <si>
    <t>LangChain SelfQueryRetriever</t>
  </si>
  <si>
    <t>GraphRAG</t>
  </si>
  <si>
    <t>Microsoft GraphRAG, when knowledge graphs help</t>
  </si>
  <si>
    <t>Microsoft GraphRAG repo + paper</t>
  </si>
  <si>
    <t>Agentic RAG</t>
  </si>
  <si>
    <t>Retrieval as a tool, query planning agents</t>
  </si>
  <si>
    <t>LlamaIndex agent docs</t>
  </si>
  <si>
    <t>Pattern selection</t>
  </si>
  <si>
    <t>Pick patterns for your capstone corpus &amp; sketch design</t>
  </si>
  <si>
    <t>Your corpus + notes</t>
  </si>
  <si>
    <t>Corpus setup</t>
  </si>
  <si>
    <t>Choose non-trivial corpus (e.g., 1K+ technical docs)</t>
  </si>
  <si>
    <t>arXiv / docs / Wikipedia subset</t>
  </si>
  <si>
    <t>Ingestion pipeline</t>
  </si>
  <si>
    <t>Chunk with contextual retrieval, embed, upsert</t>
  </si>
  <si>
    <t>Your week's tooling</t>
  </si>
  <si>
    <t>Retrieval layer</t>
  </si>
  <si>
    <t>Hybrid search + reranking</t>
  </si>
  <si>
    <t>Pinecone + Cohere Rerank</t>
  </si>
  <si>
    <t>Generation with citations</t>
  </si>
  <si>
    <t>Prompt template with citation requirement</t>
  </si>
  <si>
    <t>Claude / GPT prompts</t>
  </si>
  <si>
    <t>Quick eval</t>
  </si>
  <si>
    <t>10-20 hand-picked Q/A pairs, measure recall@k</t>
  </si>
  <si>
    <t>Your own gold set</t>
  </si>
  <si>
    <t>Deploy &amp; document</t>
  </si>
  <si>
    <t>Deploy to Modal/Vercel, write README</t>
  </si>
  <si>
    <t>Modal / Vercel docs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</si>
</sst>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i/>
      <sz val="11"/>
      <color rgb="FF595959"/>
      <name val="Arial"/>
      <charset val="1"/>
    </font>
    <font>
      <b/>
      <sz val="11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4"/>
      <color rgb="FFFFFFFF"/>
      <name val="Arial"/>
      <charset val="1"/>
    </font>
    <font>
      <b/>
      <i/>
      <sz val="11"/>
      <name val="Arial"/>
      <charset val="1"/>
    </font>
    <font>
      <b/>
      <sz val="11"/>
      <color rgb="FF2E7D32"/>
      <name val="Arial"/>
      <charset val="1"/>
    </font>
    <font>
      <b/>
      <sz val="16"/>
      <color rgb="FFFFFFFF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9DC3E6"/>
        <bgColor rgb="FFBFBFBF"/>
      </patternFill>
    </fill>
    <fill>
      <patternFill patternType="solid">
        <fgColor rgb="FF1F4E78"/>
        <bgColor rgb="FF003366"/>
      </patternFill>
    </fill>
    <fill>
      <patternFill patternType="solid">
        <fgColor rgb="FFFFF2CC"/>
        <bgColor rgb="FFF2F2F2"/>
      </patternFill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5" borderId="0" xfId="0" applyFont="1" applyFill="1"/>
    <xf numFmtId="0" fontId="5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9" fontId="6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9" fontId="3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8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9" fillId="0" borderId="0" xfId="0" applyFont="1"/>
    <xf numFmtId="9" fontId="9" fillId="0" borderId="0" xfId="0" applyNumberFormat="1" applyFont="1"/>
    <xf numFmtId="0" fontId="3" fillId="0" borderId="1" xfId="0" applyFont="1" applyBorder="1" applyAlignment="1">
      <alignment horizontal="center" vertical="top"/>
    </xf>
    <xf numFmtId="0" fontId="3" fillId="3" borderId="0" xfId="0" applyFont="1" applyFill="1" applyAlignment="1">
      <alignment horizontal="center"/>
    </xf>
    <xf numFmtId="0" fontId="4" fillId="7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right" vertical="center"/>
    </xf>
    <xf numFmtId="0" fontId="3" fillId="6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left" vertical="center"/>
    </xf>
    <xf numFmtId="0" fontId="3" fillId="3" borderId="0" xfId="0" applyFont="1" applyFill="1"/>
    <xf numFmtId="0" fontId="4" fillId="0" borderId="0" xfId="0" applyFont="1" applyAlignment="1">
      <alignment vertical="top" wrapText="1"/>
    </xf>
    <xf numFmtId="0" fontId="1" fillId="2" borderId="0" xfId="0" applyFont="1" applyFill="1" applyAlignment="1">
      <alignment horizontal="left" vertical="center" indent="1"/>
    </xf>
    <xf numFmtId="0" fontId="2" fillId="0" borderId="0" xfId="0" applyFont="1"/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" fillId="5" borderId="0" xfId="0" applyFont="1" applyFill="1"/>
    <xf numFmtId="0" fontId="10" fillId="2" borderId="0" xfId="0" applyFont="1" applyFill="1" applyAlignment="1">
      <alignment horizontal="left" vertical="center" inden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</cellXfs>
  <cellStyles count="1">
    <cellStyle name="Normal" xfId="0" builtinId="0"/>
  </cellStyles>
  <dxfs count="16">
    <dxf>
      <font>
        <b/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833C0B"/>
        <name val="Arial"/>
        <charset val="1"/>
      </font>
      <fill>
        <patternFill>
          <bgColor rgb="FFF8CBAD"/>
        </patternFill>
      </fill>
    </dxf>
    <dxf>
      <font>
        <b/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833C0B"/>
        <name val="Arial"/>
        <charset val="1"/>
      </font>
      <fill>
        <patternFill>
          <bgColor rgb="FFF8CBAD"/>
        </patternFill>
      </fill>
    </dxf>
    <dxf>
      <font>
        <b/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833C0B"/>
        <name val="Arial"/>
        <charset val="1"/>
      </font>
      <fill>
        <patternFill>
          <bgColor rgb="FFF8CBAD"/>
        </patternFill>
      </fill>
    </dxf>
    <dxf>
      <font>
        <b/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833C0B"/>
        <name val="Arial"/>
        <charset val="1"/>
      </font>
      <fill>
        <patternFill>
          <bgColor rgb="FFF8CBAD"/>
        </patternFill>
      </fill>
    </dxf>
    <dxf>
      <font>
        <b/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9C57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DC3E6"/>
      <rgbColor rgb="FFFF99CC"/>
      <rgbColor rgb="FFCC99FF"/>
      <rgbColor rgb="FFF8CBAD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2E7D32"/>
      <rgbColor rgb="FF003300"/>
      <rgbColor rgb="FF333300"/>
      <rgbColor rgb="FF833C0B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zoomScaleNormal="100" workbookViewId="0">
      <pane ySplit="3" topLeftCell="A25" activePane="bottomLeft" state="frozen"/>
      <selection pane="bottomLeft" activeCell="A10" sqref="A10:F10"/>
    </sheetView>
  </sheetViews>
  <sheetFormatPr defaultColWidth="8.6328125" defaultRowHeight="14.5" x14ac:dyDescent="0.35"/>
  <cols>
    <col min="1" max="1" width="12" customWidth="1"/>
    <col min="2" max="2" width="28" customWidth="1"/>
    <col min="3" max="3" width="42" customWidth="1"/>
    <col min="4" max="4" width="38" customWidth="1"/>
    <col min="5" max="5" width="16" customWidth="1"/>
    <col min="6" max="6" width="30" customWidth="1"/>
  </cols>
  <sheetData>
    <row r="1" spans="1:6" ht="36" customHeight="1" x14ac:dyDescent="0.35">
      <c r="A1" s="24" t="s">
        <v>0</v>
      </c>
      <c r="B1" s="24"/>
      <c r="C1" s="24"/>
      <c r="D1" s="24"/>
      <c r="E1" s="24"/>
      <c r="F1" s="24"/>
    </row>
    <row r="2" spans="1:6" ht="19.5" customHeight="1" x14ac:dyDescent="0.35">
      <c r="A2" s="25" t="s">
        <v>1</v>
      </c>
      <c r="B2" s="25"/>
      <c r="C2" s="25"/>
      <c r="D2" s="25"/>
      <c r="E2" s="25"/>
      <c r="F2" s="25"/>
    </row>
    <row r="4" spans="1:6" x14ac:dyDescent="0.35">
      <c r="A4" s="22" t="s">
        <v>2</v>
      </c>
      <c r="B4" s="22"/>
      <c r="C4" s="22"/>
      <c r="D4" s="22"/>
      <c r="E4" s="22"/>
      <c r="F4" s="22"/>
    </row>
    <row r="5" spans="1:6" ht="18" customHeight="1" x14ac:dyDescent="0.35">
      <c r="A5" s="23" t="s">
        <v>3</v>
      </c>
      <c r="B5" s="23"/>
      <c r="C5" s="23"/>
      <c r="D5" s="23"/>
      <c r="E5" s="23"/>
      <c r="F5" s="23"/>
    </row>
    <row r="6" spans="1:6" ht="18" customHeight="1" x14ac:dyDescent="0.35">
      <c r="A6" s="23" t="s">
        <v>4</v>
      </c>
      <c r="B6" s="23"/>
      <c r="C6" s="23"/>
      <c r="D6" s="23"/>
      <c r="E6" s="23"/>
      <c r="F6" s="23"/>
    </row>
    <row r="7" spans="1:6" ht="18" customHeight="1" x14ac:dyDescent="0.35">
      <c r="A7" s="23" t="s">
        <v>5</v>
      </c>
      <c r="B7" s="23"/>
      <c r="C7" s="23"/>
      <c r="D7" s="23"/>
      <c r="E7" s="23"/>
      <c r="F7" s="23"/>
    </row>
    <row r="8" spans="1:6" ht="18" customHeight="1" x14ac:dyDescent="0.35">
      <c r="A8" s="23" t="s">
        <v>6</v>
      </c>
      <c r="B8" s="23"/>
      <c r="C8" s="23"/>
      <c r="D8" s="23"/>
      <c r="E8" s="23"/>
      <c r="F8" s="23"/>
    </row>
    <row r="9" spans="1:6" ht="18" customHeight="1" x14ac:dyDescent="0.35">
      <c r="A9" s="23" t="s">
        <v>7</v>
      </c>
      <c r="B9" s="23"/>
      <c r="C9" s="23"/>
      <c r="D9" s="23"/>
      <c r="E9" s="23"/>
      <c r="F9" s="23"/>
    </row>
    <row r="10" spans="1:6" ht="18" customHeight="1" x14ac:dyDescent="0.35">
      <c r="A10" s="23" t="s">
        <v>8</v>
      </c>
      <c r="B10" s="23"/>
      <c r="C10" s="23"/>
      <c r="D10" s="23"/>
      <c r="E10" s="23"/>
      <c r="F10" s="23"/>
    </row>
    <row r="13" spans="1:6" x14ac:dyDescent="0.35">
      <c r="A13" s="22" t="s">
        <v>9</v>
      </c>
      <c r="B13" s="22"/>
      <c r="C13" s="22"/>
      <c r="D13" s="22"/>
      <c r="E13" s="22"/>
      <c r="F13" s="22"/>
    </row>
    <row r="14" spans="1:6" ht="21.75" customHeight="1" x14ac:dyDescent="0.35">
      <c r="A14" s="2" t="s">
        <v>10</v>
      </c>
      <c r="B14" s="2" t="s">
        <v>11</v>
      </c>
      <c r="C14" s="2" t="s">
        <v>12</v>
      </c>
      <c r="D14" s="2" t="s">
        <v>13</v>
      </c>
      <c r="E14" s="2" t="s">
        <v>14</v>
      </c>
      <c r="F14" s="2" t="s">
        <v>15</v>
      </c>
    </row>
    <row r="15" spans="1:6" x14ac:dyDescent="0.35">
      <c r="A15" s="3" t="s">
        <v>16</v>
      </c>
      <c r="B15" s="4" t="s">
        <v>17</v>
      </c>
      <c r="C15" s="3">
        <v>32</v>
      </c>
      <c r="D15" s="3">
        <f>SUMIFS('Week 1'!H4:H35, 'Week 2'!G4:G35, "Done")</f>
        <v>0</v>
      </c>
      <c r="E15" s="3" t="str">
        <f>COUNTIF('Week 1'!G4:G35, "Done") &amp; " / 32"</f>
        <v>0 / 32</v>
      </c>
      <c r="F15" s="5">
        <f>IFERROR(COUNTIF(#REF!, "Done")/32,0)</f>
        <v>0</v>
      </c>
    </row>
    <row r="16" spans="1:6" x14ac:dyDescent="0.35">
      <c r="A16" s="3" t="s">
        <v>18</v>
      </c>
      <c r="B16" s="4" t="s">
        <v>19</v>
      </c>
      <c r="C16" s="3">
        <v>32</v>
      </c>
      <c r="D16" s="3">
        <f>SUMIFS('Week 2'!H5:H36, 'Week 2'!G5:G36, "Done")</f>
        <v>0</v>
      </c>
      <c r="E16" s="3" t="str">
        <f>COUNTIF('Week 2'!G5:G36, "Done") &amp; " / 32"</f>
        <v>0 / 32</v>
      </c>
      <c r="F16" s="5">
        <f>IFERROR(COUNTIF('Week 2'!G5:G36, "Done")/32,0)</f>
        <v>0</v>
      </c>
    </row>
    <row r="17" spans="1:6" x14ac:dyDescent="0.35">
      <c r="A17" s="3" t="s">
        <v>20</v>
      </c>
      <c r="B17" s="4" t="s">
        <v>21</v>
      </c>
      <c r="C17" s="3">
        <v>32</v>
      </c>
      <c r="D17" s="3">
        <f>SUMIFS('Week 3'!H5:H36, 'Week 3'!G5:G36, "Done")</f>
        <v>0</v>
      </c>
      <c r="E17" s="3" t="str">
        <f>COUNTIF('Week 3'!G5:G36, "Done") &amp; " / 32"</f>
        <v>0 / 32</v>
      </c>
      <c r="F17" s="5">
        <f>IFERROR(COUNTIF('Week 3'!G5:G36, "Done")/32,0)</f>
        <v>0</v>
      </c>
    </row>
    <row r="18" spans="1:6" x14ac:dyDescent="0.35">
      <c r="A18" s="3" t="s">
        <v>22</v>
      </c>
      <c r="B18" s="4" t="s">
        <v>23</v>
      </c>
      <c r="C18" s="3">
        <v>32</v>
      </c>
      <c r="D18" s="3">
        <f>SUMIFS('Week 4'!H5:H36, 'Week 4'!G5:G36, "Done")</f>
        <v>0</v>
      </c>
      <c r="E18" s="3" t="str">
        <f>COUNTIF('Week 4'!G5:G36, "Done") &amp; " / 32"</f>
        <v>0 / 32</v>
      </c>
      <c r="F18" s="5">
        <f>IFERROR(COUNTIF('Week 4'!G5:G36, "Done")/32,0)</f>
        <v>0</v>
      </c>
    </row>
    <row r="19" spans="1:6" x14ac:dyDescent="0.35">
      <c r="A19" s="6" t="s">
        <v>24</v>
      </c>
      <c r="B19" s="7" t="s">
        <v>25</v>
      </c>
      <c r="C19" s="6">
        <v>128</v>
      </c>
      <c r="D19" s="6">
        <f>SUM(D15:D18)</f>
        <v>0</v>
      </c>
      <c r="E19" s="6" t="str">
        <f>(COUNTIF('Week 1'!G5:G36,"Done")+COUNTIF('Week 2'!G5:G36,"Done")+COUNTIF('Week 3'!G5:G36,"Done")+COUNTIF('Week 4'!G5:G36,"Done")) &amp; " / 128"</f>
        <v>0 / 128</v>
      </c>
      <c r="F19" s="8">
        <f>IFERROR(D19/C19,0)</f>
        <v>0</v>
      </c>
    </row>
    <row r="22" spans="1:6" x14ac:dyDescent="0.35">
      <c r="A22" s="22" t="s">
        <v>26</v>
      </c>
      <c r="B22" s="22"/>
      <c r="C22" s="22"/>
      <c r="D22" s="22"/>
      <c r="E22" s="22"/>
      <c r="F22" s="22"/>
    </row>
    <row r="23" spans="1:6" ht="21.75" customHeight="1" x14ac:dyDescent="0.35">
      <c r="A23" s="2" t="s">
        <v>10</v>
      </c>
      <c r="B23" s="2" t="s">
        <v>27</v>
      </c>
      <c r="C23" s="2" t="s">
        <v>28</v>
      </c>
      <c r="D23" s="2" t="s">
        <v>29</v>
      </c>
      <c r="E23" s="2" t="s">
        <v>30</v>
      </c>
      <c r="F23" s="2" t="s">
        <v>31</v>
      </c>
    </row>
    <row r="24" spans="1:6" ht="49.5" customHeight="1" x14ac:dyDescent="0.35">
      <c r="A24" s="9" t="s">
        <v>16</v>
      </c>
      <c r="B24" s="10" t="s">
        <v>32</v>
      </c>
      <c r="C24" s="10" t="s">
        <v>33</v>
      </c>
      <c r="D24" s="10" t="s">
        <v>34</v>
      </c>
      <c r="E24" s="9" t="s">
        <v>35</v>
      </c>
      <c r="F24" s="10"/>
    </row>
    <row r="25" spans="1:6" ht="49.5" customHeight="1" x14ac:dyDescent="0.35">
      <c r="A25" s="9" t="s">
        <v>18</v>
      </c>
      <c r="B25" s="10" t="s">
        <v>36</v>
      </c>
      <c r="C25" s="10" t="s">
        <v>37</v>
      </c>
      <c r="D25" s="10" t="s">
        <v>38</v>
      </c>
      <c r="E25" s="9" t="s">
        <v>35</v>
      </c>
      <c r="F25" s="10"/>
    </row>
    <row r="26" spans="1:6" ht="49.5" customHeight="1" x14ac:dyDescent="0.35">
      <c r="A26" s="9" t="s">
        <v>20</v>
      </c>
      <c r="B26" s="10" t="s">
        <v>39</v>
      </c>
      <c r="C26" s="10" t="s">
        <v>40</v>
      </c>
      <c r="D26" s="10" t="s">
        <v>41</v>
      </c>
      <c r="E26" s="9" t="s">
        <v>35</v>
      </c>
      <c r="F26" s="10"/>
    </row>
    <row r="27" spans="1:6" ht="49.5" customHeight="1" x14ac:dyDescent="0.35">
      <c r="A27" s="9" t="s">
        <v>22</v>
      </c>
      <c r="B27" s="10" t="s">
        <v>42</v>
      </c>
      <c r="C27" s="10" t="s">
        <v>43</v>
      </c>
      <c r="D27" s="10" t="s">
        <v>44</v>
      </c>
      <c r="E27" s="9" t="s">
        <v>35</v>
      </c>
      <c r="F27" s="10"/>
    </row>
  </sheetData>
  <mergeCells count="11">
    <mergeCell ref="A1:F1"/>
    <mergeCell ref="A2:F2"/>
    <mergeCell ref="A4:F4"/>
    <mergeCell ref="A5:F5"/>
    <mergeCell ref="A6:F6"/>
    <mergeCell ref="A22:F22"/>
    <mergeCell ref="A7:F7"/>
    <mergeCell ref="A8:F8"/>
    <mergeCell ref="A9:F9"/>
    <mergeCell ref="A10:F10"/>
    <mergeCell ref="A13:F13"/>
  </mergeCells>
  <conditionalFormatting sqref="E24:E27">
    <cfRule type="expression" dxfId="15" priority="2">
      <formula>$E24="Done"</formula>
    </cfRule>
    <cfRule type="expression" dxfId="14" priority="3">
      <formula>$E24="In Progress"</formula>
    </cfRule>
  </conditionalFormatting>
  <dataValidations count="1">
    <dataValidation type="list" allowBlank="1" sqref="E24:E27" xr:uid="{00000000-0002-0000-0000-000000000000}">
      <formula1>"Not Started,In Progress,Done"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B93E0-10A0-4786-AD84-9385F4B1BB15}">
  <dimension ref="A1:I38"/>
  <sheetViews>
    <sheetView zoomScaleNormal="100" workbookViewId="0">
      <pane ySplit="4" topLeftCell="A35" activePane="bottomLeft" state="frozen"/>
      <selection pane="bottomLeft" activeCell="E34" sqref="E34"/>
    </sheetView>
  </sheetViews>
  <sheetFormatPr defaultColWidth="8.6328125" defaultRowHeight="14.5" x14ac:dyDescent="0.35"/>
  <cols>
    <col min="1" max="1" width="10.7265625" customWidth="1"/>
    <col min="2" max="3" width="7" customWidth="1"/>
    <col min="4" max="4" width="22" customWidth="1"/>
    <col min="5" max="5" width="52" customWidth="1"/>
    <col min="6" max="6" width="38" customWidth="1"/>
    <col min="7" max="7" width="14" customWidth="1"/>
    <col min="8" max="8" width="9" customWidth="1"/>
    <col min="9" max="9" width="26" customWidth="1"/>
  </cols>
  <sheetData>
    <row r="1" spans="1:9" ht="27.75" customHeight="1" x14ac:dyDescent="0.35">
      <c r="A1" s="21" t="s">
        <v>463</v>
      </c>
      <c r="B1" s="21"/>
      <c r="C1" s="21"/>
      <c r="D1" s="21"/>
      <c r="E1" s="21"/>
      <c r="F1" s="21"/>
      <c r="G1" s="21"/>
      <c r="H1" s="21"/>
      <c r="I1" s="21"/>
    </row>
    <row r="2" spans="1:9" x14ac:dyDescent="0.35">
      <c r="A2" s="11" t="s">
        <v>45</v>
      </c>
      <c r="B2" s="11"/>
      <c r="C2" s="1"/>
      <c r="E2" s="12" t="s">
        <v>46</v>
      </c>
      <c r="F2" s="13">
        <f>SUMIFS(H5:H36,G5:G36,"Done")</f>
        <v>0</v>
      </c>
      <c r="G2" s="12" t="s">
        <v>47</v>
      </c>
      <c r="H2" s="14">
        <f>COUNTIF(G5:G36,"Done")/32</f>
        <v>0</v>
      </c>
    </row>
    <row r="4" spans="1:9" ht="21.75" customHeight="1" x14ac:dyDescent="0.35">
      <c r="A4" s="2" t="s">
        <v>48</v>
      </c>
      <c r="B4" s="2" t="s">
        <v>49</v>
      </c>
      <c r="C4" s="2" t="s">
        <v>50</v>
      </c>
      <c r="D4" s="2" t="s">
        <v>51</v>
      </c>
      <c r="E4" s="2" t="s">
        <v>52</v>
      </c>
      <c r="F4" s="2" t="s">
        <v>53</v>
      </c>
      <c r="G4" s="2" t="s">
        <v>30</v>
      </c>
      <c r="H4" s="2" t="s">
        <v>54</v>
      </c>
      <c r="I4" s="2" t="s">
        <v>55</v>
      </c>
    </row>
    <row r="5" spans="1:9" ht="42" customHeight="1" x14ac:dyDescent="0.35">
      <c r="A5" s="20" t="s">
        <v>56</v>
      </c>
      <c r="B5" s="30"/>
      <c r="C5" s="15" t="s">
        <v>57</v>
      </c>
      <c r="D5" t="s">
        <v>464</v>
      </c>
      <c r="E5" t="s">
        <v>465</v>
      </c>
      <c r="F5" t="s">
        <v>466</v>
      </c>
      <c r="G5" s="9" t="s">
        <v>35</v>
      </c>
      <c r="H5" s="9">
        <v>0</v>
      </c>
      <c r="I5" s="10"/>
    </row>
    <row r="6" spans="1:9" ht="42" customHeight="1" x14ac:dyDescent="0.35">
      <c r="A6" s="20"/>
      <c r="B6" s="31"/>
      <c r="C6" s="15" t="s">
        <v>58</v>
      </c>
      <c r="D6" t="s">
        <v>467</v>
      </c>
      <c r="E6" t="s">
        <v>468</v>
      </c>
      <c r="F6" t="s">
        <v>469</v>
      </c>
      <c r="G6" s="9" t="s">
        <v>35</v>
      </c>
      <c r="H6" s="9">
        <v>0</v>
      </c>
      <c r="I6" s="10"/>
    </row>
    <row r="7" spans="1:9" ht="42" customHeight="1" x14ac:dyDescent="0.35">
      <c r="A7" s="20"/>
      <c r="B7" s="31"/>
      <c r="C7" s="15" t="s">
        <v>59</v>
      </c>
      <c r="D7" t="s">
        <v>470</v>
      </c>
      <c r="E7" t="s">
        <v>471</v>
      </c>
      <c r="F7" t="s">
        <v>472</v>
      </c>
      <c r="G7" s="9" t="s">
        <v>35</v>
      </c>
      <c r="H7" s="9">
        <v>0</v>
      </c>
      <c r="I7" s="10"/>
    </row>
    <row r="8" spans="1:9" ht="42" customHeight="1" x14ac:dyDescent="0.35">
      <c r="A8" s="20"/>
      <c r="B8" s="32"/>
      <c r="C8" s="15" t="s">
        <v>60</v>
      </c>
      <c r="D8" t="s">
        <v>473</v>
      </c>
      <c r="E8" t="s">
        <v>474</v>
      </c>
      <c r="F8" t="s">
        <v>475</v>
      </c>
      <c r="G8" s="9" t="s">
        <v>35</v>
      </c>
      <c r="H8" s="9">
        <v>0</v>
      </c>
      <c r="I8" s="10"/>
    </row>
    <row r="9" spans="1:9" ht="42" customHeight="1" x14ac:dyDescent="0.35">
      <c r="A9" s="20" t="s">
        <v>61</v>
      </c>
      <c r="B9" s="30"/>
      <c r="C9" s="15" t="s">
        <v>57</v>
      </c>
      <c r="D9" t="s">
        <v>476</v>
      </c>
      <c r="E9" t="s">
        <v>477</v>
      </c>
      <c r="F9" t="s">
        <v>478</v>
      </c>
      <c r="G9" s="9" t="s">
        <v>35</v>
      </c>
      <c r="H9" s="9">
        <v>0</v>
      </c>
      <c r="I9" s="10"/>
    </row>
    <row r="10" spans="1:9" ht="42" customHeight="1" x14ac:dyDescent="0.35">
      <c r="A10" s="20"/>
      <c r="B10" s="31"/>
      <c r="C10" s="15" t="s">
        <v>58</v>
      </c>
      <c r="D10" t="s">
        <v>479</v>
      </c>
      <c r="E10" t="s">
        <v>480</v>
      </c>
      <c r="F10" t="s">
        <v>62</v>
      </c>
      <c r="G10" s="9" t="s">
        <v>35</v>
      </c>
      <c r="H10" s="9">
        <v>0</v>
      </c>
      <c r="I10" s="10"/>
    </row>
    <row r="11" spans="1:9" ht="42" customHeight="1" x14ac:dyDescent="0.35">
      <c r="A11" s="20"/>
      <c r="B11" s="31"/>
      <c r="C11" s="15" t="s">
        <v>59</v>
      </c>
      <c r="D11" t="s">
        <v>481</v>
      </c>
      <c r="E11" t="s">
        <v>482</v>
      </c>
      <c r="F11" t="s">
        <v>483</v>
      </c>
      <c r="G11" s="9" t="s">
        <v>35</v>
      </c>
      <c r="H11" s="9">
        <v>0</v>
      </c>
      <c r="I11" s="10"/>
    </row>
    <row r="12" spans="1:9" ht="42" customHeight="1" x14ac:dyDescent="0.35">
      <c r="A12" s="20"/>
      <c r="B12" s="32"/>
      <c r="C12" s="15" t="s">
        <v>60</v>
      </c>
      <c r="D12" t="s">
        <v>484</v>
      </c>
      <c r="E12" t="s">
        <v>485</v>
      </c>
      <c r="F12" t="s">
        <v>486</v>
      </c>
      <c r="G12" s="9" t="s">
        <v>35</v>
      </c>
      <c r="H12" s="9">
        <v>0</v>
      </c>
      <c r="I12" s="10"/>
    </row>
    <row r="13" spans="1:9" ht="42" customHeight="1" x14ac:dyDescent="0.35">
      <c r="A13" s="20" t="s">
        <v>63</v>
      </c>
      <c r="B13" s="30"/>
      <c r="C13" s="15" t="s">
        <v>57</v>
      </c>
      <c r="D13" t="s">
        <v>487</v>
      </c>
      <c r="E13" t="s">
        <v>488</v>
      </c>
      <c r="F13" t="s">
        <v>489</v>
      </c>
      <c r="G13" s="9" t="s">
        <v>35</v>
      </c>
      <c r="H13" s="9">
        <v>0</v>
      </c>
      <c r="I13" s="10"/>
    </row>
    <row r="14" spans="1:9" ht="42" customHeight="1" x14ac:dyDescent="0.35">
      <c r="A14" s="20"/>
      <c r="B14" s="31"/>
      <c r="C14" s="15" t="s">
        <v>58</v>
      </c>
      <c r="D14" t="s">
        <v>490</v>
      </c>
      <c r="E14" t="s">
        <v>491</v>
      </c>
      <c r="F14" t="s">
        <v>492</v>
      </c>
      <c r="G14" s="9" t="s">
        <v>35</v>
      </c>
      <c r="H14" s="9">
        <v>0</v>
      </c>
      <c r="I14" s="10"/>
    </row>
    <row r="15" spans="1:9" ht="42" customHeight="1" x14ac:dyDescent="0.35">
      <c r="A15" s="20"/>
      <c r="B15" s="31"/>
      <c r="C15" s="15" t="s">
        <v>59</v>
      </c>
      <c r="D15" t="s">
        <v>493</v>
      </c>
      <c r="E15" t="s">
        <v>494</v>
      </c>
      <c r="F15" t="s">
        <v>495</v>
      </c>
      <c r="G15" s="9" t="s">
        <v>35</v>
      </c>
      <c r="H15" s="9">
        <v>0</v>
      </c>
      <c r="I15" s="10"/>
    </row>
    <row r="16" spans="1:9" ht="42" customHeight="1" x14ac:dyDescent="0.35">
      <c r="A16" s="20"/>
      <c r="B16" s="32"/>
      <c r="C16" s="15" t="s">
        <v>60</v>
      </c>
      <c r="D16" t="s">
        <v>496</v>
      </c>
      <c r="E16" t="s">
        <v>497</v>
      </c>
      <c r="F16" t="s">
        <v>498</v>
      </c>
      <c r="G16" s="9" t="s">
        <v>35</v>
      </c>
      <c r="H16" s="9">
        <v>0</v>
      </c>
      <c r="I16" s="10"/>
    </row>
    <row r="17" spans="1:9" ht="42" customHeight="1" x14ac:dyDescent="0.35">
      <c r="A17" s="20" t="s">
        <v>64</v>
      </c>
      <c r="B17" s="30"/>
      <c r="C17" s="15" t="s">
        <v>57</v>
      </c>
      <c r="D17" t="s">
        <v>499</v>
      </c>
      <c r="E17" t="s">
        <v>500</v>
      </c>
      <c r="F17" t="s">
        <v>501</v>
      </c>
      <c r="G17" s="9" t="s">
        <v>35</v>
      </c>
      <c r="H17" s="9">
        <v>0</v>
      </c>
      <c r="I17" s="10"/>
    </row>
    <row r="18" spans="1:9" ht="42" customHeight="1" x14ac:dyDescent="0.35">
      <c r="A18" s="20"/>
      <c r="B18" s="31"/>
      <c r="C18" s="15" t="s">
        <v>58</v>
      </c>
      <c r="D18" t="s">
        <v>502</v>
      </c>
      <c r="E18" t="s">
        <v>503</v>
      </c>
      <c r="F18" t="s">
        <v>504</v>
      </c>
      <c r="G18" s="9" t="s">
        <v>35</v>
      </c>
      <c r="H18" s="9">
        <v>0</v>
      </c>
      <c r="I18" s="10"/>
    </row>
    <row r="19" spans="1:9" ht="42" customHeight="1" x14ac:dyDescent="0.35">
      <c r="A19" s="20"/>
      <c r="B19" s="31"/>
      <c r="C19" s="15" t="s">
        <v>59</v>
      </c>
      <c r="D19" t="s">
        <v>505</v>
      </c>
      <c r="E19" t="s">
        <v>506</v>
      </c>
      <c r="F19" t="s">
        <v>507</v>
      </c>
      <c r="G19" s="9" t="s">
        <v>35</v>
      </c>
      <c r="H19" s="9">
        <v>0</v>
      </c>
      <c r="I19" s="10"/>
    </row>
    <row r="20" spans="1:9" ht="42" customHeight="1" x14ac:dyDescent="0.35">
      <c r="A20" s="20"/>
      <c r="B20" s="32"/>
      <c r="C20" s="15" t="s">
        <v>60</v>
      </c>
      <c r="D20" t="s">
        <v>508</v>
      </c>
      <c r="E20" t="s">
        <v>509</v>
      </c>
      <c r="F20" t="s">
        <v>510</v>
      </c>
      <c r="G20" s="9" t="s">
        <v>35</v>
      </c>
      <c r="H20" s="9">
        <v>0</v>
      </c>
      <c r="I20" s="10"/>
    </row>
    <row r="21" spans="1:9" ht="42" customHeight="1" x14ac:dyDescent="0.35">
      <c r="A21" s="20" t="s">
        <v>65</v>
      </c>
      <c r="B21" s="30"/>
      <c r="C21" s="15" t="s">
        <v>57</v>
      </c>
      <c r="D21" t="s">
        <v>511</v>
      </c>
      <c r="E21" t="s">
        <v>512</v>
      </c>
      <c r="F21" t="s">
        <v>513</v>
      </c>
      <c r="G21" s="9" t="s">
        <v>35</v>
      </c>
      <c r="H21" s="9">
        <v>0</v>
      </c>
      <c r="I21" s="10"/>
    </row>
    <row r="22" spans="1:9" ht="42" customHeight="1" x14ac:dyDescent="0.35">
      <c r="A22" s="20"/>
      <c r="B22" s="31"/>
      <c r="C22" s="15" t="s">
        <v>58</v>
      </c>
      <c r="D22" t="s">
        <v>514</v>
      </c>
      <c r="E22" t="s">
        <v>515</v>
      </c>
      <c r="F22" t="s">
        <v>516</v>
      </c>
      <c r="G22" s="9" t="s">
        <v>35</v>
      </c>
      <c r="H22" s="9">
        <v>0</v>
      </c>
      <c r="I22" s="10"/>
    </row>
    <row r="23" spans="1:9" ht="42" customHeight="1" x14ac:dyDescent="0.35">
      <c r="A23" s="20"/>
      <c r="B23" s="31"/>
      <c r="C23" s="15" t="s">
        <v>59</v>
      </c>
      <c r="D23" t="s">
        <v>517</v>
      </c>
      <c r="E23" t="s">
        <v>518</v>
      </c>
      <c r="F23" t="s">
        <v>519</v>
      </c>
      <c r="G23" s="9" t="s">
        <v>35</v>
      </c>
      <c r="H23" s="9">
        <v>0</v>
      </c>
      <c r="I23" s="10"/>
    </row>
    <row r="24" spans="1:9" ht="42" customHeight="1" x14ac:dyDescent="0.35">
      <c r="A24" s="20"/>
      <c r="B24" s="32"/>
      <c r="C24" s="15" t="s">
        <v>60</v>
      </c>
      <c r="D24" t="s">
        <v>520</v>
      </c>
      <c r="E24" t="s">
        <v>521</v>
      </c>
      <c r="F24" t="s">
        <v>522</v>
      </c>
      <c r="G24" s="9" t="s">
        <v>35</v>
      </c>
      <c r="H24" s="9">
        <v>0</v>
      </c>
      <c r="I24" s="10"/>
    </row>
    <row r="25" spans="1:9" ht="42" customHeight="1" x14ac:dyDescent="0.35">
      <c r="A25" s="18" t="s">
        <v>66</v>
      </c>
      <c r="B25" s="33"/>
      <c r="C25" s="15" t="s">
        <v>57</v>
      </c>
      <c r="D25" t="s">
        <v>523</v>
      </c>
      <c r="E25" t="s">
        <v>524</v>
      </c>
      <c r="F25" t="s">
        <v>525</v>
      </c>
      <c r="G25" s="9" t="s">
        <v>35</v>
      </c>
      <c r="H25" s="9">
        <v>0</v>
      </c>
      <c r="I25" s="10"/>
    </row>
    <row r="26" spans="1:9" ht="42" customHeight="1" x14ac:dyDescent="0.35">
      <c r="A26" s="18"/>
      <c r="B26" s="34"/>
      <c r="C26" s="15" t="s">
        <v>58</v>
      </c>
      <c r="D26" t="s">
        <v>526</v>
      </c>
      <c r="E26" t="s">
        <v>527</v>
      </c>
      <c r="F26" t="s">
        <v>528</v>
      </c>
      <c r="G26" s="9" t="s">
        <v>35</v>
      </c>
      <c r="H26" s="9">
        <v>0</v>
      </c>
      <c r="I26" s="10"/>
    </row>
    <row r="27" spans="1:9" ht="42" customHeight="1" x14ac:dyDescent="0.35">
      <c r="A27" s="18"/>
      <c r="B27" s="34"/>
      <c r="C27" s="15" t="s">
        <v>59</v>
      </c>
      <c r="D27" t="s">
        <v>529</v>
      </c>
      <c r="E27" t="s">
        <v>530</v>
      </c>
      <c r="F27" t="s">
        <v>531</v>
      </c>
      <c r="G27" s="9" t="s">
        <v>35</v>
      </c>
      <c r="H27" s="9">
        <v>0</v>
      </c>
      <c r="I27" s="10"/>
    </row>
    <row r="28" spans="1:9" ht="42" customHeight="1" x14ac:dyDescent="0.35">
      <c r="A28" s="18"/>
      <c r="B28" s="34"/>
      <c r="C28" s="15" t="s">
        <v>60</v>
      </c>
      <c r="D28" t="s">
        <v>532</v>
      </c>
      <c r="E28" t="s">
        <v>533</v>
      </c>
      <c r="F28" t="s">
        <v>534</v>
      </c>
      <c r="G28" s="9" t="s">
        <v>35</v>
      </c>
      <c r="H28" s="9">
        <v>0</v>
      </c>
      <c r="I28" s="10"/>
    </row>
    <row r="29" spans="1:9" ht="42" customHeight="1" x14ac:dyDescent="0.35">
      <c r="A29" s="18"/>
      <c r="B29" s="34"/>
      <c r="C29" s="15" t="s">
        <v>67</v>
      </c>
      <c r="D29" t="s">
        <v>535</v>
      </c>
      <c r="E29" t="s">
        <v>536</v>
      </c>
      <c r="F29" t="s">
        <v>537</v>
      </c>
      <c r="G29" s="9" t="s">
        <v>35</v>
      </c>
      <c r="H29" s="9">
        <v>0</v>
      </c>
      <c r="I29" s="10"/>
    </row>
    <row r="30" spans="1:9" ht="42" customHeight="1" x14ac:dyDescent="0.35">
      <c r="A30" s="18"/>
      <c r="B30" s="35"/>
      <c r="C30" s="15" t="s">
        <v>68</v>
      </c>
      <c r="D30" t="s">
        <v>538</v>
      </c>
      <c r="E30" t="s">
        <v>539</v>
      </c>
      <c r="F30" t="s">
        <v>540</v>
      </c>
      <c r="G30" s="9" t="s">
        <v>35</v>
      </c>
      <c r="H30" s="9">
        <v>0</v>
      </c>
      <c r="I30" s="10"/>
    </row>
    <row r="31" spans="1:9" ht="42" customHeight="1" x14ac:dyDescent="0.35">
      <c r="A31" s="18" t="s">
        <v>69</v>
      </c>
      <c r="B31" s="33"/>
      <c r="C31" s="15" t="s">
        <v>57</v>
      </c>
      <c r="D31" t="s">
        <v>541</v>
      </c>
      <c r="E31" t="s">
        <v>542</v>
      </c>
      <c r="F31" t="s">
        <v>543</v>
      </c>
      <c r="G31" s="9" t="s">
        <v>35</v>
      </c>
      <c r="H31" s="9">
        <v>0</v>
      </c>
      <c r="I31" s="10"/>
    </row>
    <row r="32" spans="1:9" ht="42" customHeight="1" x14ac:dyDescent="0.35">
      <c r="A32" s="18"/>
      <c r="B32" s="34"/>
      <c r="C32" s="15" t="s">
        <v>58</v>
      </c>
      <c r="D32" t="s">
        <v>544</v>
      </c>
      <c r="E32" t="s">
        <v>545</v>
      </c>
      <c r="F32" t="s">
        <v>546</v>
      </c>
      <c r="G32" s="9" t="s">
        <v>35</v>
      </c>
      <c r="H32" s="9">
        <v>0</v>
      </c>
      <c r="I32" s="10"/>
    </row>
    <row r="33" spans="1:9" ht="42" customHeight="1" x14ac:dyDescent="0.35">
      <c r="A33" s="18"/>
      <c r="B33" s="34"/>
      <c r="C33" s="15" t="s">
        <v>59</v>
      </c>
      <c r="D33" t="s">
        <v>547</v>
      </c>
      <c r="E33" t="s">
        <v>548</v>
      </c>
      <c r="F33" t="s">
        <v>549</v>
      </c>
      <c r="G33" s="9" t="s">
        <v>35</v>
      </c>
      <c r="H33" s="9">
        <v>0</v>
      </c>
      <c r="I33" s="10"/>
    </row>
    <row r="34" spans="1:9" ht="42" customHeight="1" x14ac:dyDescent="0.35">
      <c r="A34" s="18"/>
      <c r="B34" s="34"/>
      <c r="C34" s="15" t="s">
        <v>60</v>
      </c>
      <c r="D34" t="s">
        <v>550</v>
      </c>
      <c r="E34" t="s">
        <v>551</v>
      </c>
      <c r="F34" t="s">
        <v>552</v>
      </c>
      <c r="G34" s="9" t="s">
        <v>35</v>
      </c>
      <c r="H34" s="9">
        <v>0</v>
      </c>
      <c r="I34" s="10"/>
    </row>
    <row r="35" spans="1:9" ht="42" customHeight="1" x14ac:dyDescent="0.35">
      <c r="A35" s="18"/>
      <c r="B35" s="34"/>
      <c r="C35" s="15" t="s">
        <v>67</v>
      </c>
      <c r="D35" t="s">
        <v>553</v>
      </c>
      <c r="E35" t="s">
        <v>554</v>
      </c>
      <c r="F35" t="s">
        <v>555</v>
      </c>
      <c r="G35" s="9" t="s">
        <v>35</v>
      </c>
      <c r="H35" s="9">
        <v>0</v>
      </c>
      <c r="I35" s="10"/>
    </row>
    <row r="36" spans="1:9" ht="42" customHeight="1" x14ac:dyDescent="0.35">
      <c r="A36" s="18"/>
      <c r="B36" s="35"/>
      <c r="C36" s="15" t="s">
        <v>68</v>
      </c>
      <c r="D36" t="s">
        <v>556</v>
      </c>
      <c r="E36" t="s">
        <v>557</v>
      </c>
      <c r="F36" t="s">
        <v>558</v>
      </c>
      <c r="G36" s="9" t="s">
        <v>35</v>
      </c>
      <c r="H36" s="9">
        <v>0</v>
      </c>
      <c r="I36" s="10"/>
    </row>
    <row r="38" spans="1:9" x14ac:dyDescent="0.35">
      <c r="A38" s="19" t="s">
        <v>70</v>
      </c>
      <c r="B38" s="19"/>
      <c r="C38" s="19"/>
      <c r="D38" s="19"/>
      <c r="E38" s="19"/>
      <c r="F38" s="19"/>
      <c r="G38" s="16" t="str">
        <f>COUNTIF(G5:G36, "Done") &amp; " / 32"</f>
        <v>0 / 32</v>
      </c>
      <c r="H38" s="16">
        <f>SUM(H5:H36)</f>
        <v>0</v>
      </c>
    </row>
  </sheetData>
  <mergeCells count="16">
    <mergeCell ref="A25:A30"/>
    <mergeCell ref="A31:A36"/>
    <mergeCell ref="A38:F38"/>
    <mergeCell ref="B5:B8"/>
    <mergeCell ref="B9:B12"/>
    <mergeCell ref="B13:B16"/>
    <mergeCell ref="B17:B20"/>
    <mergeCell ref="B21:B24"/>
    <mergeCell ref="B25:B30"/>
    <mergeCell ref="B31:B36"/>
    <mergeCell ref="A1:I1"/>
    <mergeCell ref="A5:A8"/>
    <mergeCell ref="A9:A12"/>
    <mergeCell ref="A13:A16"/>
    <mergeCell ref="A17:A20"/>
    <mergeCell ref="A21:A24"/>
  </mergeCells>
  <conditionalFormatting sqref="G5:G36">
    <cfRule type="expression" dxfId="13" priority="1">
      <formula>$G5="Done"</formula>
    </cfRule>
    <cfRule type="expression" dxfId="12" priority="2">
      <formula>$G5="In Progress"</formula>
    </cfRule>
    <cfRule type="expression" dxfId="11" priority="3">
      <formula>$G5="Skipped"</formula>
    </cfRule>
  </conditionalFormatting>
  <dataValidations count="1">
    <dataValidation type="list" allowBlank="1" sqref="G5:G36" xr:uid="{65816667-2929-47BA-9B05-5739AD2E321B}">
      <formula1>"Not Started,In Progress,Done,Skipped"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8"/>
  <sheetViews>
    <sheetView zoomScaleNormal="100" workbookViewId="0">
      <pane ySplit="4" topLeftCell="A6" activePane="bottomLeft" state="frozen"/>
      <selection pane="bottomLeft" activeCell="E36" sqref="E36"/>
    </sheetView>
  </sheetViews>
  <sheetFormatPr defaultColWidth="8.6328125" defaultRowHeight="14.5" x14ac:dyDescent="0.35"/>
  <cols>
    <col min="1" max="3" width="7" customWidth="1"/>
    <col min="4" max="4" width="22" customWidth="1"/>
    <col min="5" max="5" width="52" customWidth="1"/>
    <col min="6" max="6" width="38" customWidth="1"/>
    <col min="7" max="7" width="14" customWidth="1"/>
    <col min="8" max="8" width="9" customWidth="1"/>
    <col min="9" max="9" width="26" customWidth="1"/>
  </cols>
  <sheetData>
    <row r="1" spans="1:9" ht="27.75" customHeight="1" x14ac:dyDescent="0.35">
      <c r="A1" s="21" t="s">
        <v>71</v>
      </c>
      <c r="B1" s="21"/>
      <c r="C1" s="21"/>
      <c r="D1" s="21"/>
      <c r="E1" s="21"/>
      <c r="F1" s="21"/>
      <c r="G1" s="21"/>
      <c r="H1" s="21"/>
      <c r="I1" s="21"/>
    </row>
    <row r="2" spans="1:9" x14ac:dyDescent="0.35">
      <c r="A2" s="11" t="s">
        <v>45</v>
      </c>
      <c r="B2" s="11"/>
      <c r="C2" s="1"/>
      <c r="E2" s="12" t="s">
        <v>46</v>
      </c>
      <c r="F2" s="13">
        <f>SUMIFS(H5:H36,G5:G36,"Done")</f>
        <v>0</v>
      </c>
      <c r="G2" s="12" t="s">
        <v>47</v>
      </c>
      <c r="H2" s="14">
        <f>COUNTIF(G5:G36,"Done")/32</f>
        <v>0</v>
      </c>
    </row>
    <row r="4" spans="1:9" ht="21.75" customHeight="1" x14ac:dyDescent="0.35">
      <c r="A4" s="2" t="s">
        <v>48</v>
      </c>
      <c r="B4" s="2" t="s">
        <v>49</v>
      </c>
      <c r="C4" s="2" t="s">
        <v>50</v>
      </c>
      <c r="D4" s="2" t="s">
        <v>51</v>
      </c>
      <c r="E4" s="2" t="s">
        <v>52</v>
      </c>
      <c r="F4" s="2" t="s">
        <v>53</v>
      </c>
      <c r="G4" s="2" t="s">
        <v>30</v>
      </c>
      <c r="H4" s="2" t="s">
        <v>54</v>
      </c>
      <c r="I4" s="2" t="s">
        <v>55</v>
      </c>
    </row>
    <row r="5" spans="1:9" ht="42" customHeight="1" x14ac:dyDescent="0.35">
      <c r="A5" s="20" t="s">
        <v>56</v>
      </c>
      <c r="B5" s="30"/>
      <c r="C5" s="15" t="s">
        <v>57</v>
      </c>
      <c r="D5" s="10" t="s">
        <v>72</v>
      </c>
      <c r="E5" s="10" t="s">
        <v>73</v>
      </c>
      <c r="F5" s="10" t="s">
        <v>74</v>
      </c>
      <c r="G5" s="9" t="s">
        <v>35</v>
      </c>
      <c r="H5" s="9">
        <v>0</v>
      </c>
      <c r="I5" s="10"/>
    </row>
    <row r="6" spans="1:9" ht="42" customHeight="1" x14ac:dyDescent="0.35">
      <c r="A6" s="20"/>
      <c r="B6" s="31"/>
      <c r="C6" s="15" t="s">
        <v>58</v>
      </c>
      <c r="D6" s="10" t="s">
        <v>75</v>
      </c>
      <c r="E6" s="10" t="s">
        <v>76</v>
      </c>
      <c r="F6" s="10" t="s">
        <v>77</v>
      </c>
      <c r="G6" s="9" t="s">
        <v>35</v>
      </c>
      <c r="H6" s="9">
        <v>0</v>
      </c>
      <c r="I6" s="10"/>
    </row>
    <row r="7" spans="1:9" ht="42" customHeight="1" x14ac:dyDescent="0.35">
      <c r="A7" s="20"/>
      <c r="B7" s="31"/>
      <c r="C7" s="15" t="s">
        <v>59</v>
      </c>
      <c r="D7" s="10" t="s">
        <v>78</v>
      </c>
      <c r="E7" s="10" t="s">
        <v>79</v>
      </c>
      <c r="F7" s="10" t="s">
        <v>80</v>
      </c>
      <c r="G7" s="9" t="s">
        <v>35</v>
      </c>
      <c r="H7" s="9">
        <v>0</v>
      </c>
      <c r="I7" s="10"/>
    </row>
    <row r="8" spans="1:9" ht="42" customHeight="1" x14ac:dyDescent="0.35">
      <c r="A8" s="20"/>
      <c r="B8" s="32"/>
      <c r="C8" s="15" t="s">
        <v>60</v>
      </c>
      <c r="D8" s="10" t="s">
        <v>81</v>
      </c>
      <c r="E8" s="10" t="s">
        <v>82</v>
      </c>
      <c r="F8" s="10" t="s">
        <v>83</v>
      </c>
      <c r="G8" s="9" t="s">
        <v>35</v>
      </c>
      <c r="H8" s="9">
        <v>0</v>
      </c>
      <c r="I8" s="10"/>
    </row>
    <row r="9" spans="1:9" ht="42" customHeight="1" x14ac:dyDescent="0.35">
      <c r="A9" s="20" t="s">
        <v>61</v>
      </c>
      <c r="B9" s="30"/>
      <c r="C9" s="15" t="s">
        <v>57</v>
      </c>
      <c r="D9" s="10" t="s">
        <v>84</v>
      </c>
      <c r="E9" s="10" t="s">
        <v>85</v>
      </c>
      <c r="F9" s="10" t="s">
        <v>86</v>
      </c>
      <c r="G9" s="9" t="s">
        <v>35</v>
      </c>
      <c r="H9" s="9">
        <v>0</v>
      </c>
      <c r="I9" s="10"/>
    </row>
    <row r="10" spans="1:9" ht="42" customHeight="1" x14ac:dyDescent="0.35">
      <c r="A10" s="20"/>
      <c r="B10" s="31"/>
      <c r="C10" s="15" t="s">
        <v>58</v>
      </c>
      <c r="D10" s="10" t="s">
        <v>87</v>
      </c>
      <c r="E10" s="10" t="s">
        <v>88</v>
      </c>
      <c r="F10" s="10" t="s">
        <v>89</v>
      </c>
      <c r="G10" s="9" t="s">
        <v>35</v>
      </c>
      <c r="H10" s="9">
        <v>0</v>
      </c>
      <c r="I10" s="10"/>
    </row>
    <row r="11" spans="1:9" ht="42" customHeight="1" x14ac:dyDescent="0.35">
      <c r="A11" s="20"/>
      <c r="B11" s="31"/>
      <c r="C11" s="15" t="s">
        <v>59</v>
      </c>
      <c r="D11" s="10" t="s">
        <v>90</v>
      </c>
      <c r="E11" s="10" t="s">
        <v>91</v>
      </c>
      <c r="F11" s="10" t="s">
        <v>92</v>
      </c>
      <c r="G11" s="9" t="s">
        <v>35</v>
      </c>
      <c r="H11" s="9">
        <v>0</v>
      </c>
      <c r="I11" s="10"/>
    </row>
    <row r="12" spans="1:9" ht="42" customHeight="1" x14ac:dyDescent="0.35">
      <c r="A12" s="20"/>
      <c r="B12" s="32"/>
      <c r="C12" s="15" t="s">
        <v>60</v>
      </c>
      <c r="D12" s="10" t="s">
        <v>93</v>
      </c>
      <c r="E12" s="10" t="s">
        <v>94</v>
      </c>
      <c r="F12" s="10" t="s">
        <v>95</v>
      </c>
      <c r="G12" s="9" t="s">
        <v>35</v>
      </c>
      <c r="H12" s="9">
        <v>0</v>
      </c>
      <c r="I12" s="10"/>
    </row>
    <row r="13" spans="1:9" ht="42" customHeight="1" x14ac:dyDescent="0.35">
      <c r="A13" s="20" t="s">
        <v>63</v>
      </c>
      <c r="B13" s="30"/>
      <c r="C13" s="15" t="s">
        <v>57</v>
      </c>
      <c r="D13" s="10" t="s">
        <v>96</v>
      </c>
      <c r="E13" s="10" t="s">
        <v>97</v>
      </c>
      <c r="F13" s="10" t="s">
        <v>98</v>
      </c>
      <c r="G13" s="9" t="s">
        <v>35</v>
      </c>
      <c r="H13" s="9">
        <v>0</v>
      </c>
      <c r="I13" s="10"/>
    </row>
    <row r="14" spans="1:9" ht="42" customHeight="1" x14ac:dyDescent="0.35">
      <c r="A14" s="20"/>
      <c r="B14" s="31"/>
      <c r="C14" s="15" t="s">
        <v>58</v>
      </c>
      <c r="D14" s="10" t="s">
        <v>99</v>
      </c>
      <c r="E14" s="10" t="s">
        <v>100</v>
      </c>
      <c r="F14" s="10" t="s">
        <v>101</v>
      </c>
      <c r="G14" s="9" t="s">
        <v>35</v>
      </c>
      <c r="H14" s="9">
        <v>0</v>
      </c>
      <c r="I14" s="10"/>
    </row>
    <row r="15" spans="1:9" ht="42" customHeight="1" x14ac:dyDescent="0.35">
      <c r="A15" s="20"/>
      <c r="B15" s="31"/>
      <c r="C15" s="15" t="s">
        <v>59</v>
      </c>
      <c r="D15" s="10" t="s">
        <v>102</v>
      </c>
      <c r="E15" s="10" t="s">
        <v>103</v>
      </c>
      <c r="F15" s="10" t="s">
        <v>104</v>
      </c>
      <c r="G15" s="9" t="s">
        <v>35</v>
      </c>
      <c r="H15" s="9">
        <v>0</v>
      </c>
      <c r="I15" s="10"/>
    </row>
    <row r="16" spans="1:9" ht="42" customHeight="1" x14ac:dyDescent="0.35">
      <c r="A16" s="20"/>
      <c r="B16" s="32"/>
      <c r="C16" s="15" t="s">
        <v>60</v>
      </c>
      <c r="D16" s="10" t="s">
        <v>105</v>
      </c>
      <c r="E16" s="10" t="s">
        <v>106</v>
      </c>
      <c r="F16" s="10" t="s">
        <v>107</v>
      </c>
      <c r="G16" s="9" t="s">
        <v>35</v>
      </c>
      <c r="H16" s="9">
        <v>0</v>
      </c>
      <c r="I16" s="10"/>
    </row>
    <row r="17" spans="1:9" ht="42" customHeight="1" x14ac:dyDescent="0.35">
      <c r="A17" s="20" t="s">
        <v>64</v>
      </c>
      <c r="B17" s="30"/>
      <c r="C17" s="15" t="s">
        <v>57</v>
      </c>
      <c r="D17" s="10" t="s">
        <v>108</v>
      </c>
      <c r="E17" s="10" t="s">
        <v>109</v>
      </c>
      <c r="F17" s="10" t="s">
        <v>110</v>
      </c>
      <c r="G17" s="9" t="s">
        <v>35</v>
      </c>
      <c r="H17" s="9">
        <v>0</v>
      </c>
      <c r="I17" s="10"/>
    </row>
    <row r="18" spans="1:9" ht="42" customHeight="1" x14ac:dyDescent="0.35">
      <c r="A18" s="20"/>
      <c r="B18" s="31"/>
      <c r="C18" s="15" t="s">
        <v>58</v>
      </c>
      <c r="D18" s="10" t="s">
        <v>111</v>
      </c>
      <c r="E18" s="10" t="s">
        <v>112</v>
      </c>
      <c r="F18" s="10" t="s">
        <v>113</v>
      </c>
      <c r="G18" s="9" t="s">
        <v>35</v>
      </c>
      <c r="H18" s="9">
        <v>0</v>
      </c>
      <c r="I18" s="10"/>
    </row>
    <row r="19" spans="1:9" ht="42" customHeight="1" x14ac:dyDescent="0.35">
      <c r="A19" s="20"/>
      <c r="B19" s="31"/>
      <c r="C19" s="15" t="s">
        <v>59</v>
      </c>
      <c r="D19" s="10" t="s">
        <v>114</v>
      </c>
      <c r="E19" s="10" t="s">
        <v>115</v>
      </c>
      <c r="F19" s="10" t="s">
        <v>116</v>
      </c>
      <c r="G19" s="9" t="s">
        <v>35</v>
      </c>
      <c r="H19" s="9">
        <v>0</v>
      </c>
      <c r="I19" s="10"/>
    </row>
    <row r="20" spans="1:9" ht="42" customHeight="1" x14ac:dyDescent="0.35">
      <c r="A20" s="20"/>
      <c r="B20" s="32"/>
      <c r="C20" s="15" t="s">
        <v>60</v>
      </c>
      <c r="D20" s="10" t="s">
        <v>117</v>
      </c>
      <c r="E20" s="10" t="s">
        <v>118</v>
      </c>
      <c r="F20" s="10" t="s">
        <v>119</v>
      </c>
      <c r="G20" s="9" t="s">
        <v>35</v>
      </c>
      <c r="H20" s="9">
        <v>0</v>
      </c>
      <c r="I20" s="10"/>
    </row>
    <row r="21" spans="1:9" ht="42" customHeight="1" x14ac:dyDescent="0.35">
      <c r="A21" s="20" t="s">
        <v>65</v>
      </c>
      <c r="B21" s="30"/>
      <c r="C21" s="15" t="s">
        <v>57</v>
      </c>
      <c r="D21" s="10" t="s">
        <v>120</v>
      </c>
      <c r="E21" s="10" t="s">
        <v>121</v>
      </c>
      <c r="F21" s="10" t="s">
        <v>122</v>
      </c>
      <c r="G21" s="9" t="s">
        <v>35</v>
      </c>
      <c r="H21" s="9">
        <v>0</v>
      </c>
      <c r="I21" s="10"/>
    </row>
    <row r="22" spans="1:9" ht="42" customHeight="1" x14ac:dyDescent="0.35">
      <c r="A22" s="20"/>
      <c r="B22" s="31"/>
      <c r="C22" s="15" t="s">
        <v>58</v>
      </c>
      <c r="D22" s="10" t="s">
        <v>123</v>
      </c>
      <c r="E22" s="10" t="s">
        <v>124</v>
      </c>
      <c r="F22" s="10" t="s">
        <v>125</v>
      </c>
      <c r="G22" s="9" t="s">
        <v>35</v>
      </c>
      <c r="H22" s="9">
        <v>0</v>
      </c>
      <c r="I22" s="10"/>
    </row>
    <row r="23" spans="1:9" ht="42" customHeight="1" x14ac:dyDescent="0.35">
      <c r="A23" s="20"/>
      <c r="B23" s="31"/>
      <c r="C23" s="15" t="s">
        <v>59</v>
      </c>
      <c r="D23" s="10" t="s">
        <v>126</v>
      </c>
      <c r="E23" s="10" t="s">
        <v>127</v>
      </c>
      <c r="F23" s="10" t="s">
        <v>128</v>
      </c>
      <c r="G23" s="9" t="s">
        <v>35</v>
      </c>
      <c r="H23" s="9">
        <v>0</v>
      </c>
      <c r="I23" s="10"/>
    </row>
    <row r="24" spans="1:9" ht="42" customHeight="1" x14ac:dyDescent="0.35">
      <c r="A24" s="20"/>
      <c r="B24" s="32"/>
      <c r="C24" s="15" t="s">
        <v>60</v>
      </c>
      <c r="D24" s="10" t="s">
        <v>129</v>
      </c>
      <c r="E24" s="10" t="s">
        <v>130</v>
      </c>
      <c r="F24" s="10" t="s">
        <v>131</v>
      </c>
      <c r="G24" s="9" t="s">
        <v>35</v>
      </c>
      <c r="H24" s="9">
        <v>0</v>
      </c>
      <c r="I24" s="10"/>
    </row>
    <row r="25" spans="1:9" ht="42" customHeight="1" x14ac:dyDescent="0.35">
      <c r="A25" s="18" t="s">
        <v>66</v>
      </c>
      <c r="B25" s="33"/>
      <c r="C25" s="15" t="s">
        <v>57</v>
      </c>
      <c r="D25" s="10" t="s">
        <v>132</v>
      </c>
      <c r="E25" s="10" t="s">
        <v>133</v>
      </c>
      <c r="F25" s="10" t="s">
        <v>134</v>
      </c>
      <c r="G25" s="9" t="s">
        <v>35</v>
      </c>
      <c r="H25" s="9">
        <v>0</v>
      </c>
      <c r="I25" s="10"/>
    </row>
    <row r="26" spans="1:9" ht="42" customHeight="1" x14ac:dyDescent="0.35">
      <c r="A26" s="18"/>
      <c r="B26" s="34"/>
      <c r="C26" s="15" t="s">
        <v>58</v>
      </c>
      <c r="D26" s="10" t="s">
        <v>135</v>
      </c>
      <c r="E26" s="10" t="s">
        <v>136</v>
      </c>
      <c r="F26" s="10" t="s">
        <v>137</v>
      </c>
      <c r="G26" s="9" t="s">
        <v>35</v>
      </c>
      <c r="H26" s="9">
        <v>0</v>
      </c>
      <c r="I26" s="10"/>
    </row>
    <row r="27" spans="1:9" ht="42" customHeight="1" x14ac:dyDescent="0.35">
      <c r="A27" s="18"/>
      <c r="B27" s="34"/>
      <c r="C27" s="15" t="s">
        <v>59</v>
      </c>
      <c r="D27" s="10" t="s">
        <v>138</v>
      </c>
      <c r="E27" s="10" t="s">
        <v>139</v>
      </c>
      <c r="F27" s="10" t="s">
        <v>140</v>
      </c>
      <c r="G27" s="9" t="s">
        <v>35</v>
      </c>
      <c r="H27" s="9">
        <v>0</v>
      </c>
      <c r="I27" s="10"/>
    </row>
    <row r="28" spans="1:9" ht="42" customHeight="1" x14ac:dyDescent="0.35">
      <c r="A28" s="18"/>
      <c r="B28" s="34"/>
      <c r="C28" s="15" t="s">
        <v>60</v>
      </c>
      <c r="D28" s="10" t="s">
        <v>141</v>
      </c>
      <c r="E28" s="10" t="s">
        <v>142</v>
      </c>
      <c r="F28" s="10" t="s">
        <v>143</v>
      </c>
      <c r="G28" s="9" t="s">
        <v>35</v>
      </c>
      <c r="H28" s="9">
        <v>0</v>
      </c>
      <c r="I28" s="10"/>
    </row>
    <row r="29" spans="1:9" ht="42" customHeight="1" x14ac:dyDescent="0.35">
      <c r="A29" s="18"/>
      <c r="B29" s="34"/>
      <c r="C29" s="15" t="s">
        <v>67</v>
      </c>
      <c r="D29" s="10" t="s">
        <v>144</v>
      </c>
      <c r="E29" s="10" t="s">
        <v>145</v>
      </c>
      <c r="F29" s="10" t="s">
        <v>146</v>
      </c>
      <c r="G29" s="9" t="s">
        <v>35</v>
      </c>
      <c r="H29" s="9">
        <v>0</v>
      </c>
      <c r="I29" s="10"/>
    </row>
    <row r="30" spans="1:9" ht="42" customHeight="1" x14ac:dyDescent="0.35">
      <c r="A30" s="18"/>
      <c r="B30" s="35"/>
      <c r="C30" s="15" t="s">
        <v>68</v>
      </c>
      <c r="D30" s="10" t="s">
        <v>147</v>
      </c>
      <c r="E30" s="10" t="s">
        <v>148</v>
      </c>
      <c r="F30" s="10" t="s">
        <v>149</v>
      </c>
      <c r="G30" s="9" t="s">
        <v>35</v>
      </c>
      <c r="H30" s="9">
        <v>0</v>
      </c>
      <c r="I30" s="10"/>
    </row>
    <row r="31" spans="1:9" ht="42" customHeight="1" x14ac:dyDescent="0.35">
      <c r="A31" s="18" t="s">
        <v>69</v>
      </c>
      <c r="B31" s="33"/>
      <c r="C31" s="15" t="s">
        <v>57</v>
      </c>
      <c r="D31" s="10" t="s">
        <v>150</v>
      </c>
      <c r="E31" s="10" t="s">
        <v>151</v>
      </c>
      <c r="F31" s="10" t="s">
        <v>152</v>
      </c>
      <c r="G31" s="9" t="s">
        <v>35</v>
      </c>
      <c r="H31" s="9">
        <v>0</v>
      </c>
      <c r="I31" s="10"/>
    </row>
    <row r="32" spans="1:9" ht="42" customHeight="1" x14ac:dyDescent="0.35">
      <c r="A32" s="18"/>
      <c r="B32" s="34"/>
      <c r="C32" s="15" t="s">
        <v>58</v>
      </c>
      <c r="D32" s="10" t="s">
        <v>153</v>
      </c>
      <c r="E32" s="10" t="s">
        <v>154</v>
      </c>
      <c r="F32" s="10" t="s">
        <v>155</v>
      </c>
      <c r="G32" s="9" t="s">
        <v>35</v>
      </c>
      <c r="H32" s="9">
        <v>0</v>
      </c>
      <c r="I32" s="10"/>
    </row>
    <row r="33" spans="1:9" ht="42" customHeight="1" x14ac:dyDescent="0.35">
      <c r="A33" s="18"/>
      <c r="B33" s="34"/>
      <c r="C33" s="15" t="s">
        <v>59</v>
      </c>
      <c r="D33" s="10" t="s">
        <v>156</v>
      </c>
      <c r="E33" s="10" t="s">
        <v>157</v>
      </c>
      <c r="F33" s="10" t="s">
        <v>158</v>
      </c>
      <c r="G33" s="9" t="s">
        <v>35</v>
      </c>
      <c r="H33" s="9">
        <v>0</v>
      </c>
      <c r="I33" s="10"/>
    </row>
    <row r="34" spans="1:9" ht="42" customHeight="1" x14ac:dyDescent="0.35">
      <c r="A34" s="18"/>
      <c r="B34" s="34"/>
      <c r="C34" s="15" t="s">
        <v>60</v>
      </c>
      <c r="D34" s="10" t="s">
        <v>159</v>
      </c>
      <c r="E34" s="10" t="s">
        <v>160</v>
      </c>
      <c r="F34" s="10" t="s">
        <v>161</v>
      </c>
      <c r="G34" s="9" t="s">
        <v>35</v>
      </c>
      <c r="H34" s="9">
        <v>0</v>
      </c>
      <c r="I34" s="10"/>
    </row>
    <row r="35" spans="1:9" ht="42" customHeight="1" x14ac:dyDescent="0.35">
      <c r="A35" s="18"/>
      <c r="B35" s="34"/>
      <c r="C35" s="15" t="s">
        <v>67</v>
      </c>
      <c r="D35" s="10" t="s">
        <v>162</v>
      </c>
      <c r="E35" s="10" t="s">
        <v>163</v>
      </c>
      <c r="F35" s="10" t="s">
        <v>164</v>
      </c>
      <c r="G35" s="9" t="s">
        <v>35</v>
      </c>
      <c r="H35" s="9">
        <v>0</v>
      </c>
      <c r="I35" s="10"/>
    </row>
    <row r="36" spans="1:9" ht="42" customHeight="1" x14ac:dyDescent="0.35">
      <c r="A36" s="18"/>
      <c r="B36" s="35"/>
      <c r="C36" s="15" t="s">
        <v>68</v>
      </c>
      <c r="D36" s="10" t="s">
        <v>165</v>
      </c>
      <c r="E36" s="10" t="s">
        <v>166</v>
      </c>
      <c r="F36" s="10" t="s">
        <v>167</v>
      </c>
      <c r="G36" s="9" t="s">
        <v>35</v>
      </c>
      <c r="H36" s="9">
        <v>0</v>
      </c>
      <c r="I36" s="10"/>
    </row>
    <row r="38" spans="1:9" x14ac:dyDescent="0.35">
      <c r="A38" s="19" t="s">
        <v>70</v>
      </c>
      <c r="B38" s="19"/>
      <c r="C38" s="19"/>
      <c r="D38" s="19"/>
      <c r="E38" s="19"/>
      <c r="F38" s="19"/>
      <c r="G38" s="16" t="str">
        <f>COUNTIF(G5:G36, "Done") &amp; " / 32"</f>
        <v>0 / 32</v>
      </c>
      <c r="H38" s="16">
        <f>SUM(H5:H36)</f>
        <v>0</v>
      </c>
    </row>
  </sheetData>
  <mergeCells count="16">
    <mergeCell ref="A1:I1"/>
    <mergeCell ref="A5:A8"/>
    <mergeCell ref="A9:A12"/>
    <mergeCell ref="B5:B8"/>
    <mergeCell ref="B9:B12"/>
    <mergeCell ref="A25:A30"/>
    <mergeCell ref="A31:A36"/>
    <mergeCell ref="A38:F38"/>
    <mergeCell ref="A13:A16"/>
    <mergeCell ref="A17:A20"/>
    <mergeCell ref="A21:A24"/>
    <mergeCell ref="B13:B16"/>
    <mergeCell ref="B17:B20"/>
    <mergeCell ref="B21:B24"/>
    <mergeCell ref="B25:B30"/>
    <mergeCell ref="B31:B36"/>
  </mergeCells>
  <conditionalFormatting sqref="G5:G36">
    <cfRule type="expression" dxfId="10" priority="2">
      <formula>$G5="Done"</formula>
    </cfRule>
    <cfRule type="expression" dxfId="9" priority="3">
      <formula>$G5="In Progress"</formula>
    </cfRule>
    <cfRule type="expression" dxfId="8" priority="4">
      <formula>$G5="Skipped"</formula>
    </cfRule>
  </conditionalFormatting>
  <dataValidations count="1">
    <dataValidation type="list" allowBlank="1" sqref="G5:G36" xr:uid="{00000000-0002-0000-0200-000000000000}">
      <formula1>"Not Started,In Progress,Done,Skipped"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8"/>
  <sheetViews>
    <sheetView zoomScaleNormal="100" workbookViewId="0">
      <pane ySplit="4" topLeftCell="A32" activePane="bottomLeft" state="frozen"/>
      <selection pane="bottomLeft" activeCell="D33" sqref="D33"/>
    </sheetView>
  </sheetViews>
  <sheetFormatPr defaultColWidth="8.6328125" defaultRowHeight="14.5" x14ac:dyDescent="0.35"/>
  <cols>
    <col min="1" max="1" width="7" customWidth="1"/>
    <col min="2" max="2" width="12" customWidth="1"/>
    <col min="3" max="3" width="7" customWidth="1"/>
    <col min="4" max="4" width="22" customWidth="1"/>
    <col min="5" max="5" width="52" customWidth="1"/>
    <col min="6" max="6" width="38" customWidth="1"/>
    <col min="7" max="7" width="14" customWidth="1"/>
    <col min="8" max="8" width="9" customWidth="1"/>
    <col min="9" max="9" width="26" customWidth="1"/>
  </cols>
  <sheetData>
    <row r="1" spans="1:9" ht="27.75" customHeight="1" x14ac:dyDescent="0.35">
      <c r="A1" s="21" t="s">
        <v>168</v>
      </c>
      <c r="B1" s="21"/>
      <c r="C1" s="21"/>
      <c r="D1" s="21"/>
      <c r="E1" s="21"/>
      <c r="F1" s="21"/>
      <c r="G1" s="21"/>
      <c r="H1" s="21"/>
      <c r="I1" s="21"/>
    </row>
    <row r="2" spans="1:9" x14ac:dyDescent="0.35">
      <c r="A2" s="11" t="s">
        <v>45</v>
      </c>
      <c r="B2" s="28"/>
      <c r="C2" s="28"/>
      <c r="E2" s="12" t="s">
        <v>46</v>
      </c>
      <c r="F2" s="13">
        <f>SUMIFS(H5:H36,G5:G36,"Done")</f>
        <v>0</v>
      </c>
      <c r="G2" s="12" t="s">
        <v>47</v>
      </c>
      <c r="H2" s="14">
        <f>COUNTIF(G5:G36,"Done")/32</f>
        <v>0</v>
      </c>
    </row>
    <row r="4" spans="1:9" ht="21.75" customHeight="1" x14ac:dyDescent="0.35">
      <c r="A4" s="2" t="s">
        <v>48</v>
      </c>
      <c r="B4" s="2" t="s">
        <v>49</v>
      </c>
      <c r="C4" s="2" t="s">
        <v>50</v>
      </c>
      <c r="D4" s="2" t="s">
        <v>51</v>
      </c>
      <c r="E4" s="2" t="s">
        <v>52</v>
      </c>
      <c r="F4" s="2" t="s">
        <v>53</v>
      </c>
      <c r="G4" s="2" t="s">
        <v>30</v>
      </c>
      <c r="H4" s="2" t="s">
        <v>54</v>
      </c>
      <c r="I4" s="2" t="s">
        <v>55</v>
      </c>
    </row>
    <row r="5" spans="1:9" ht="42" customHeight="1" x14ac:dyDescent="0.35">
      <c r="A5" s="20" t="s">
        <v>56</v>
      </c>
      <c r="B5" s="39"/>
      <c r="C5" s="15" t="s">
        <v>57</v>
      </c>
      <c r="D5" s="10" t="s">
        <v>169</v>
      </c>
      <c r="E5" s="10" t="s">
        <v>170</v>
      </c>
      <c r="F5" s="10" t="s">
        <v>171</v>
      </c>
      <c r="G5" s="9" t="s">
        <v>35</v>
      </c>
      <c r="H5" s="9">
        <v>0</v>
      </c>
      <c r="I5" s="10"/>
    </row>
    <row r="6" spans="1:9" ht="42" customHeight="1" x14ac:dyDescent="0.35">
      <c r="A6" s="20"/>
      <c r="B6" s="40"/>
      <c r="C6" s="15" t="s">
        <v>58</v>
      </c>
      <c r="D6" s="10" t="s">
        <v>172</v>
      </c>
      <c r="E6" s="10" t="s">
        <v>173</v>
      </c>
      <c r="F6" s="10" t="s">
        <v>174</v>
      </c>
      <c r="G6" s="9" t="s">
        <v>35</v>
      </c>
      <c r="H6" s="9">
        <v>0</v>
      </c>
      <c r="I6" s="10"/>
    </row>
    <row r="7" spans="1:9" ht="42" customHeight="1" x14ac:dyDescent="0.35">
      <c r="A7" s="20"/>
      <c r="B7" s="40"/>
      <c r="C7" s="15" t="s">
        <v>59</v>
      </c>
      <c r="D7" s="10" t="s">
        <v>175</v>
      </c>
      <c r="E7" s="10" t="s">
        <v>176</v>
      </c>
      <c r="F7" s="10" t="s">
        <v>177</v>
      </c>
      <c r="G7" s="9" t="s">
        <v>35</v>
      </c>
      <c r="H7" s="9">
        <v>0</v>
      </c>
      <c r="I7" s="10"/>
    </row>
    <row r="8" spans="1:9" ht="42" customHeight="1" x14ac:dyDescent="0.35">
      <c r="A8" s="20"/>
      <c r="B8" s="41"/>
      <c r="C8" s="15" t="s">
        <v>60</v>
      </c>
      <c r="D8" s="10" t="s">
        <v>178</v>
      </c>
      <c r="E8" s="10" t="s">
        <v>179</v>
      </c>
      <c r="F8" s="10" t="s">
        <v>180</v>
      </c>
      <c r="G8" s="9" t="s">
        <v>35</v>
      </c>
      <c r="H8" s="9">
        <v>0</v>
      </c>
      <c r="I8" s="10"/>
    </row>
    <row r="9" spans="1:9" ht="42" customHeight="1" x14ac:dyDescent="0.35">
      <c r="A9" s="20" t="s">
        <v>61</v>
      </c>
      <c r="B9" s="39"/>
      <c r="C9" s="15" t="s">
        <v>57</v>
      </c>
      <c r="D9" s="10" t="s">
        <v>181</v>
      </c>
      <c r="E9" s="10" t="s">
        <v>182</v>
      </c>
      <c r="F9" s="10" t="s">
        <v>183</v>
      </c>
      <c r="G9" s="9" t="s">
        <v>35</v>
      </c>
      <c r="H9" s="9">
        <v>0</v>
      </c>
      <c r="I9" s="10"/>
    </row>
    <row r="10" spans="1:9" ht="42" customHeight="1" x14ac:dyDescent="0.35">
      <c r="A10" s="20"/>
      <c r="B10" s="40"/>
      <c r="C10" s="15" t="s">
        <v>58</v>
      </c>
      <c r="D10" s="10" t="s">
        <v>184</v>
      </c>
      <c r="E10" s="10" t="s">
        <v>185</v>
      </c>
      <c r="F10" s="10" t="s">
        <v>186</v>
      </c>
      <c r="G10" s="9" t="s">
        <v>35</v>
      </c>
      <c r="H10" s="9">
        <v>0</v>
      </c>
      <c r="I10" s="10"/>
    </row>
    <row r="11" spans="1:9" ht="42" customHeight="1" x14ac:dyDescent="0.35">
      <c r="A11" s="20"/>
      <c r="B11" s="40"/>
      <c r="C11" s="15" t="s">
        <v>59</v>
      </c>
      <c r="D11" s="10" t="s">
        <v>187</v>
      </c>
      <c r="E11" s="10" t="s">
        <v>188</v>
      </c>
      <c r="F11" s="10" t="s">
        <v>189</v>
      </c>
      <c r="G11" s="9" t="s">
        <v>35</v>
      </c>
      <c r="H11" s="9">
        <v>0</v>
      </c>
      <c r="I11" s="10"/>
    </row>
    <row r="12" spans="1:9" ht="42" customHeight="1" x14ac:dyDescent="0.35">
      <c r="A12" s="20"/>
      <c r="B12" s="41"/>
      <c r="C12" s="15" t="s">
        <v>60</v>
      </c>
      <c r="D12" s="10" t="s">
        <v>190</v>
      </c>
      <c r="E12" s="10" t="s">
        <v>191</v>
      </c>
      <c r="F12" s="10" t="s">
        <v>192</v>
      </c>
      <c r="G12" s="9" t="s">
        <v>35</v>
      </c>
      <c r="H12" s="9">
        <v>0</v>
      </c>
      <c r="I12" s="10"/>
    </row>
    <row r="13" spans="1:9" ht="42" customHeight="1" x14ac:dyDescent="0.35">
      <c r="A13" s="20" t="s">
        <v>63</v>
      </c>
      <c r="B13" s="39"/>
      <c r="C13" s="15" t="s">
        <v>57</v>
      </c>
      <c r="D13" s="10" t="s">
        <v>193</v>
      </c>
      <c r="E13" s="10" t="s">
        <v>194</v>
      </c>
      <c r="F13" s="10" t="s">
        <v>195</v>
      </c>
      <c r="G13" s="9" t="s">
        <v>35</v>
      </c>
      <c r="H13" s="9">
        <v>0</v>
      </c>
      <c r="I13" s="10"/>
    </row>
    <row r="14" spans="1:9" ht="42" customHeight="1" x14ac:dyDescent="0.35">
      <c r="A14" s="20"/>
      <c r="B14" s="40"/>
      <c r="C14" s="15" t="s">
        <v>58</v>
      </c>
      <c r="D14" s="10" t="s">
        <v>196</v>
      </c>
      <c r="E14" s="10" t="s">
        <v>197</v>
      </c>
      <c r="F14" s="10" t="s">
        <v>198</v>
      </c>
      <c r="G14" s="9" t="s">
        <v>35</v>
      </c>
      <c r="H14" s="9">
        <v>0</v>
      </c>
      <c r="I14" s="10"/>
    </row>
    <row r="15" spans="1:9" ht="42" customHeight="1" x14ac:dyDescent="0.35">
      <c r="A15" s="20"/>
      <c r="B15" s="40"/>
      <c r="C15" s="15" t="s">
        <v>59</v>
      </c>
      <c r="D15" s="10" t="s">
        <v>199</v>
      </c>
      <c r="E15" s="10" t="s">
        <v>200</v>
      </c>
      <c r="F15" s="10" t="s">
        <v>201</v>
      </c>
      <c r="G15" s="9" t="s">
        <v>35</v>
      </c>
      <c r="H15" s="9">
        <v>0</v>
      </c>
      <c r="I15" s="10"/>
    </row>
    <row r="16" spans="1:9" ht="42" customHeight="1" x14ac:dyDescent="0.35">
      <c r="A16" s="20"/>
      <c r="B16" s="41"/>
      <c r="C16" s="15" t="s">
        <v>60</v>
      </c>
      <c r="D16" s="10" t="s">
        <v>202</v>
      </c>
      <c r="E16" s="10" t="s">
        <v>203</v>
      </c>
      <c r="F16" s="10" t="s">
        <v>204</v>
      </c>
      <c r="G16" s="9" t="s">
        <v>35</v>
      </c>
      <c r="H16" s="9">
        <v>0</v>
      </c>
      <c r="I16" s="10"/>
    </row>
    <row r="17" spans="1:9" ht="42" customHeight="1" x14ac:dyDescent="0.35">
      <c r="A17" s="20" t="s">
        <v>64</v>
      </c>
      <c r="B17" s="39"/>
      <c r="C17" s="15" t="s">
        <v>57</v>
      </c>
      <c r="D17" s="10" t="s">
        <v>205</v>
      </c>
      <c r="E17" s="10" t="s">
        <v>206</v>
      </c>
      <c r="F17" s="10" t="s">
        <v>207</v>
      </c>
      <c r="G17" s="9" t="s">
        <v>35</v>
      </c>
      <c r="H17" s="9">
        <v>0</v>
      </c>
      <c r="I17" s="10"/>
    </row>
    <row r="18" spans="1:9" ht="42" customHeight="1" x14ac:dyDescent="0.35">
      <c r="A18" s="20"/>
      <c r="B18" s="40"/>
      <c r="C18" s="15" t="s">
        <v>58</v>
      </c>
      <c r="D18" s="10" t="s">
        <v>208</v>
      </c>
      <c r="E18" s="10" t="s">
        <v>209</v>
      </c>
      <c r="F18" s="10" t="s">
        <v>210</v>
      </c>
      <c r="G18" s="9" t="s">
        <v>35</v>
      </c>
      <c r="H18" s="9">
        <v>0</v>
      </c>
      <c r="I18" s="10"/>
    </row>
    <row r="19" spans="1:9" ht="42" customHeight="1" x14ac:dyDescent="0.35">
      <c r="A19" s="20"/>
      <c r="B19" s="40"/>
      <c r="C19" s="15" t="s">
        <v>59</v>
      </c>
      <c r="D19" s="10" t="s">
        <v>211</v>
      </c>
      <c r="E19" s="10" t="s">
        <v>212</v>
      </c>
      <c r="F19" s="10" t="s">
        <v>213</v>
      </c>
      <c r="G19" s="9" t="s">
        <v>35</v>
      </c>
      <c r="H19" s="9">
        <v>0</v>
      </c>
      <c r="I19" s="10"/>
    </row>
    <row r="20" spans="1:9" ht="42" customHeight="1" x14ac:dyDescent="0.35">
      <c r="A20" s="20"/>
      <c r="B20" s="41"/>
      <c r="C20" s="15" t="s">
        <v>60</v>
      </c>
      <c r="D20" s="10" t="s">
        <v>214</v>
      </c>
      <c r="E20" s="10" t="s">
        <v>215</v>
      </c>
      <c r="F20" s="10" t="s">
        <v>216</v>
      </c>
      <c r="G20" s="9" t="s">
        <v>35</v>
      </c>
      <c r="H20" s="9">
        <v>0</v>
      </c>
      <c r="I20" s="10"/>
    </row>
    <row r="21" spans="1:9" ht="42" customHeight="1" x14ac:dyDescent="0.35">
      <c r="A21" s="20" t="s">
        <v>65</v>
      </c>
      <c r="B21" s="39"/>
      <c r="C21" s="15" t="s">
        <v>57</v>
      </c>
      <c r="D21" s="10" t="s">
        <v>217</v>
      </c>
      <c r="E21" s="10" t="s">
        <v>218</v>
      </c>
      <c r="F21" s="10" t="s">
        <v>219</v>
      </c>
      <c r="G21" s="9" t="s">
        <v>35</v>
      </c>
      <c r="H21" s="9">
        <v>0</v>
      </c>
      <c r="I21" s="10"/>
    </row>
    <row r="22" spans="1:9" ht="42" customHeight="1" x14ac:dyDescent="0.35">
      <c r="A22" s="20"/>
      <c r="B22" s="40"/>
      <c r="C22" s="15" t="s">
        <v>58</v>
      </c>
      <c r="D22" s="10" t="s">
        <v>220</v>
      </c>
      <c r="E22" s="10" t="s">
        <v>221</v>
      </c>
      <c r="F22" s="10" t="s">
        <v>222</v>
      </c>
      <c r="G22" s="9" t="s">
        <v>35</v>
      </c>
      <c r="H22" s="9">
        <v>0</v>
      </c>
      <c r="I22" s="10"/>
    </row>
    <row r="23" spans="1:9" ht="42" customHeight="1" x14ac:dyDescent="0.35">
      <c r="A23" s="20"/>
      <c r="B23" s="40"/>
      <c r="C23" s="15" t="s">
        <v>59</v>
      </c>
      <c r="D23" s="10" t="s">
        <v>223</v>
      </c>
      <c r="E23" s="10" t="s">
        <v>224</v>
      </c>
      <c r="F23" s="10" t="s">
        <v>225</v>
      </c>
      <c r="G23" s="9" t="s">
        <v>35</v>
      </c>
      <c r="H23" s="9">
        <v>0</v>
      </c>
      <c r="I23" s="10"/>
    </row>
    <row r="24" spans="1:9" ht="42" customHeight="1" x14ac:dyDescent="0.35">
      <c r="A24" s="20"/>
      <c r="B24" s="41"/>
      <c r="C24" s="15" t="s">
        <v>60</v>
      </c>
      <c r="D24" s="10" t="s">
        <v>226</v>
      </c>
      <c r="E24" s="10" t="s">
        <v>227</v>
      </c>
      <c r="F24" s="10" t="s">
        <v>228</v>
      </c>
      <c r="G24" s="9" t="s">
        <v>35</v>
      </c>
      <c r="H24" s="9">
        <v>0</v>
      </c>
      <c r="I24" s="10"/>
    </row>
    <row r="25" spans="1:9" ht="42" customHeight="1" x14ac:dyDescent="0.35">
      <c r="A25" s="18" t="s">
        <v>66</v>
      </c>
      <c r="B25" s="36"/>
      <c r="C25" s="15" t="s">
        <v>57</v>
      </c>
      <c r="D25" s="10" t="s">
        <v>229</v>
      </c>
      <c r="E25" s="10" t="s">
        <v>230</v>
      </c>
      <c r="F25" s="10" t="s">
        <v>231</v>
      </c>
      <c r="G25" s="9" t="s">
        <v>35</v>
      </c>
      <c r="H25" s="9">
        <v>0</v>
      </c>
      <c r="I25" s="10"/>
    </row>
    <row r="26" spans="1:9" ht="42" customHeight="1" x14ac:dyDescent="0.35">
      <c r="A26" s="18"/>
      <c r="B26" s="37"/>
      <c r="C26" s="15" t="s">
        <v>58</v>
      </c>
      <c r="D26" s="10" t="s">
        <v>232</v>
      </c>
      <c r="E26" s="10" t="s">
        <v>233</v>
      </c>
      <c r="F26" s="10" t="s">
        <v>234</v>
      </c>
      <c r="G26" s="9" t="s">
        <v>35</v>
      </c>
      <c r="H26" s="9">
        <v>0</v>
      </c>
      <c r="I26" s="10"/>
    </row>
    <row r="27" spans="1:9" ht="42" customHeight="1" x14ac:dyDescent="0.35">
      <c r="A27" s="18"/>
      <c r="B27" s="37"/>
      <c r="C27" s="15" t="s">
        <v>59</v>
      </c>
      <c r="D27" s="10" t="s">
        <v>235</v>
      </c>
      <c r="E27" s="10" t="s">
        <v>236</v>
      </c>
      <c r="F27" s="10" t="s">
        <v>237</v>
      </c>
      <c r="G27" s="9" t="s">
        <v>35</v>
      </c>
      <c r="H27" s="9">
        <v>0</v>
      </c>
      <c r="I27" s="10"/>
    </row>
    <row r="28" spans="1:9" ht="42" customHeight="1" x14ac:dyDescent="0.35">
      <c r="A28" s="18"/>
      <c r="B28" s="37"/>
      <c r="C28" s="15" t="s">
        <v>60</v>
      </c>
      <c r="D28" s="10" t="s">
        <v>238</v>
      </c>
      <c r="E28" s="10" t="s">
        <v>239</v>
      </c>
      <c r="F28" s="10" t="s">
        <v>240</v>
      </c>
      <c r="G28" s="9" t="s">
        <v>35</v>
      </c>
      <c r="H28" s="9">
        <v>0</v>
      </c>
      <c r="I28" s="10"/>
    </row>
    <row r="29" spans="1:9" ht="42" customHeight="1" x14ac:dyDescent="0.35">
      <c r="A29" s="18"/>
      <c r="B29" s="37"/>
      <c r="C29" s="15" t="s">
        <v>67</v>
      </c>
      <c r="D29" s="10" t="s">
        <v>241</v>
      </c>
      <c r="E29" s="10" t="s">
        <v>242</v>
      </c>
      <c r="F29" s="10" t="s">
        <v>243</v>
      </c>
      <c r="G29" s="9" t="s">
        <v>35</v>
      </c>
      <c r="H29" s="9">
        <v>0</v>
      </c>
      <c r="I29" s="10"/>
    </row>
    <row r="30" spans="1:9" ht="42" customHeight="1" x14ac:dyDescent="0.35">
      <c r="A30" s="18"/>
      <c r="B30" s="38"/>
      <c r="C30" s="15" t="s">
        <v>68</v>
      </c>
      <c r="D30" s="10" t="s">
        <v>244</v>
      </c>
      <c r="E30" s="10" t="s">
        <v>245</v>
      </c>
      <c r="F30" s="10" t="s">
        <v>246</v>
      </c>
      <c r="G30" s="9" t="s">
        <v>35</v>
      </c>
      <c r="H30" s="9">
        <v>0</v>
      </c>
      <c r="I30" s="10"/>
    </row>
    <row r="31" spans="1:9" ht="42" customHeight="1" x14ac:dyDescent="0.35">
      <c r="A31" s="18" t="s">
        <v>69</v>
      </c>
      <c r="B31" s="36"/>
      <c r="C31" s="15" t="s">
        <v>57</v>
      </c>
      <c r="D31" s="10" t="s">
        <v>247</v>
      </c>
      <c r="E31" s="10" t="s">
        <v>248</v>
      </c>
      <c r="F31" s="10" t="s">
        <v>249</v>
      </c>
      <c r="G31" s="9" t="s">
        <v>35</v>
      </c>
      <c r="H31" s="9">
        <v>0</v>
      </c>
      <c r="I31" s="10"/>
    </row>
    <row r="32" spans="1:9" ht="42" customHeight="1" x14ac:dyDescent="0.35">
      <c r="A32" s="18"/>
      <c r="B32" s="37"/>
      <c r="C32" s="15" t="s">
        <v>58</v>
      </c>
      <c r="D32" s="10" t="s">
        <v>250</v>
      </c>
      <c r="E32" s="10" t="s">
        <v>251</v>
      </c>
      <c r="F32" s="10" t="s">
        <v>252</v>
      </c>
      <c r="G32" s="9" t="s">
        <v>35</v>
      </c>
      <c r="H32" s="9">
        <v>0</v>
      </c>
      <c r="I32" s="10"/>
    </row>
    <row r="33" spans="1:9" ht="42" customHeight="1" x14ac:dyDescent="0.35">
      <c r="A33" s="18"/>
      <c r="B33" s="37"/>
      <c r="C33" s="15" t="s">
        <v>59</v>
      </c>
      <c r="D33" s="10" t="s">
        <v>253</v>
      </c>
      <c r="E33" s="10" t="s">
        <v>254</v>
      </c>
      <c r="F33" s="10" t="s">
        <v>255</v>
      </c>
      <c r="G33" s="9" t="s">
        <v>35</v>
      </c>
      <c r="H33" s="9">
        <v>0</v>
      </c>
      <c r="I33" s="10"/>
    </row>
    <row r="34" spans="1:9" ht="42" customHeight="1" x14ac:dyDescent="0.35">
      <c r="A34" s="18"/>
      <c r="B34" s="37"/>
      <c r="C34" s="15" t="s">
        <v>60</v>
      </c>
      <c r="D34" s="10" t="s">
        <v>256</v>
      </c>
      <c r="E34" s="10" t="s">
        <v>257</v>
      </c>
      <c r="F34" s="10" t="s">
        <v>258</v>
      </c>
      <c r="G34" s="9" t="s">
        <v>35</v>
      </c>
      <c r="H34" s="9">
        <v>0</v>
      </c>
      <c r="I34" s="10"/>
    </row>
    <row r="35" spans="1:9" ht="42" customHeight="1" x14ac:dyDescent="0.35">
      <c r="A35" s="18"/>
      <c r="B35" s="37"/>
      <c r="C35" s="15" t="s">
        <v>67</v>
      </c>
      <c r="D35" s="10" t="s">
        <v>259</v>
      </c>
      <c r="E35" s="10" t="s">
        <v>260</v>
      </c>
      <c r="F35" s="10" t="s">
        <v>261</v>
      </c>
      <c r="G35" s="9" t="s">
        <v>35</v>
      </c>
      <c r="H35" s="9">
        <v>0</v>
      </c>
      <c r="I35" s="10"/>
    </row>
    <row r="36" spans="1:9" ht="42" customHeight="1" x14ac:dyDescent="0.35">
      <c r="A36" s="18"/>
      <c r="B36" s="38"/>
      <c r="C36" s="15" t="s">
        <v>68</v>
      </c>
      <c r="D36" s="10" t="s">
        <v>262</v>
      </c>
      <c r="E36" s="10" t="s">
        <v>263</v>
      </c>
      <c r="F36" s="10" t="s">
        <v>167</v>
      </c>
      <c r="G36" s="9" t="s">
        <v>35</v>
      </c>
      <c r="H36" s="9">
        <v>0</v>
      </c>
      <c r="I36" s="10"/>
    </row>
    <row r="38" spans="1:9" x14ac:dyDescent="0.35">
      <c r="A38" s="19" t="s">
        <v>70</v>
      </c>
      <c r="B38" s="19"/>
      <c r="C38" s="19"/>
      <c r="D38" s="19"/>
      <c r="E38" s="19"/>
      <c r="F38" s="19"/>
      <c r="G38" s="16" t="str">
        <f>COUNTIF(G5:G36, "Done") &amp; " / 32"</f>
        <v>0 / 32</v>
      </c>
      <c r="H38" s="16">
        <f>SUM(H5:H36)</f>
        <v>0</v>
      </c>
    </row>
  </sheetData>
  <mergeCells count="17">
    <mergeCell ref="B21:B24"/>
    <mergeCell ref="B17:B20"/>
    <mergeCell ref="B13:B16"/>
    <mergeCell ref="A1:I1"/>
    <mergeCell ref="B2:C2"/>
    <mergeCell ref="A5:A8"/>
    <mergeCell ref="B5:B8"/>
    <mergeCell ref="A9:A12"/>
    <mergeCell ref="B9:B12"/>
    <mergeCell ref="A13:A16"/>
    <mergeCell ref="A17:A20"/>
    <mergeCell ref="A21:A24"/>
    <mergeCell ref="A25:A30"/>
    <mergeCell ref="B25:B30"/>
    <mergeCell ref="A31:A36"/>
    <mergeCell ref="B31:B36"/>
    <mergeCell ref="A38:F38"/>
  </mergeCells>
  <conditionalFormatting sqref="G5:G36">
    <cfRule type="expression" dxfId="7" priority="2">
      <formula>$G5="Done"</formula>
    </cfRule>
    <cfRule type="expression" dxfId="6" priority="3">
      <formula>$G5="In Progress"</formula>
    </cfRule>
    <cfRule type="expression" dxfId="5" priority="4">
      <formula>$G5="Skipped"</formula>
    </cfRule>
  </conditionalFormatting>
  <dataValidations count="1">
    <dataValidation type="list" allowBlank="1" sqref="G5:G36" xr:uid="{00000000-0002-0000-0300-000000000000}">
      <formula1>"Not Started,In Progress,Done,Skipped"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8"/>
  <sheetViews>
    <sheetView zoomScaleNormal="100" workbookViewId="0">
      <pane ySplit="4" topLeftCell="A5" activePane="bottomLeft" state="frozen"/>
      <selection pane="bottomLeft" sqref="A1:I1"/>
    </sheetView>
  </sheetViews>
  <sheetFormatPr defaultColWidth="8.6328125" defaultRowHeight="14.5" x14ac:dyDescent="0.35"/>
  <cols>
    <col min="1" max="1" width="7" customWidth="1"/>
    <col min="2" max="2" width="12" customWidth="1"/>
    <col min="3" max="3" width="7" customWidth="1"/>
    <col min="4" max="4" width="22" customWidth="1"/>
    <col min="5" max="5" width="52" customWidth="1"/>
    <col min="6" max="6" width="38" customWidth="1"/>
    <col min="7" max="7" width="14" customWidth="1"/>
    <col min="8" max="8" width="9" customWidth="1"/>
    <col min="9" max="9" width="26" customWidth="1"/>
  </cols>
  <sheetData>
    <row r="1" spans="1:9" ht="27.75" customHeight="1" x14ac:dyDescent="0.35">
      <c r="A1" s="21" t="s">
        <v>264</v>
      </c>
      <c r="B1" s="21"/>
      <c r="C1" s="21"/>
      <c r="D1" s="21"/>
      <c r="E1" s="21"/>
      <c r="F1" s="21"/>
      <c r="G1" s="21"/>
      <c r="H1" s="21"/>
      <c r="I1" s="21"/>
    </row>
    <row r="2" spans="1:9" x14ac:dyDescent="0.35">
      <c r="A2" s="11" t="s">
        <v>45</v>
      </c>
      <c r="B2" s="28"/>
      <c r="C2" s="28"/>
      <c r="E2" s="12" t="s">
        <v>46</v>
      </c>
      <c r="F2" s="13">
        <f>SUMIFS(H5:H36,G5:G36,"Done")</f>
        <v>0</v>
      </c>
      <c r="G2" s="12" t="s">
        <v>47</v>
      </c>
      <c r="H2" s="14">
        <f>COUNTIF(G5:G36,"Done")/32</f>
        <v>0</v>
      </c>
    </row>
    <row r="4" spans="1:9" ht="21.75" customHeight="1" x14ac:dyDescent="0.35">
      <c r="A4" s="2" t="s">
        <v>48</v>
      </c>
      <c r="B4" s="2" t="s">
        <v>49</v>
      </c>
      <c r="C4" s="2" t="s">
        <v>50</v>
      </c>
      <c r="D4" s="2" t="s">
        <v>51</v>
      </c>
      <c r="E4" s="2" t="s">
        <v>52</v>
      </c>
      <c r="F4" s="2" t="s">
        <v>53</v>
      </c>
      <c r="G4" s="2" t="s">
        <v>30</v>
      </c>
      <c r="H4" s="2" t="s">
        <v>54</v>
      </c>
      <c r="I4" s="2" t="s">
        <v>55</v>
      </c>
    </row>
    <row r="5" spans="1:9" ht="42" customHeight="1" x14ac:dyDescent="0.35">
      <c r="A5" s="20" t="s">
        <v>56</v>
      </c>
      <c r="B5" s="27"/>
      <c r="C5" s="15" t="s">
        <v>57</v>
      </c>
      <c r="D5" s="10" t="s">
        <v>265</v>
      </c>
      <c r="E5" s="10" t="s">
        <v>266</v>
      </c>
      <c r="F5" s="10" t="s">
        <v>267</v>
      </c>
      <c r="G5" s="9" t="s">
        <v>35</v>
      </c>
      <c r="H5" s="9">
        <v>0</v>
      </c>
      <c r="I5" s="10"/>
    </row>
    <row r="6" spans="1:9" ht="42" customHeight="1" x14ac:dyDescent="0.35">
      <c r="A6" s="20"/>
      <c r="B6" s="20"/>
      <c r="C6" s="15" t="s">
        <v>58</v>
      </c>
      <c r="D6" s="10" t="s">
        <v>268</v>
      </c>
      <c r="E6" s="10" t="s">
        <v>269</v>
      </c>
      <c r="F6" s="10" t="s">
        <v>270</v>
      </c>
      <c r="G6" s="9" t="s">
        <v>35</v>
      </c>
      <c r="H6" s="9">
        <v>0</v>
      </c>
      <c r="I6" s="10"/>
    </row>
    <row r="7" spans="1:9" ht="42" customHeight="1" x14ac:dyDescent="0.35">
      <c r="A7" s="20"/>
      <c r="B7" s="20"/>
      <c r="C7" s="15" t="s">
        <v>59</v>
      </c>
      <c r="D7" s="10" t="s">
        <v>271</v>
      </c>
      <c r="E7" s="10" t="s">
        <v>272</v>
      </c>
      <c r="F7" s="10" t="s">
        <v>273</v>
      </c>
      <c r="G7" s="9" t="s">
        <v>35</v>
      </c>
      <c r="H7" s="9">
        <v>0</v>
      </c>
      <c r="I7" s="10"/>
    </row>
    <row r="8" spans="1:9" ht="42" customHeight="1" x14ac:dyDescent="0.35">
      <c r="A8" s="20"/>
      <c r="B8" s="20"/>
      <c r="C8" s="15" t="s">
        <v>60</v>
      </c>
      <c r="D8" s="10" t="s">
        <v>274</v>
      </c>
      <c r="E8" s="10" t="s">
        <v>275</v>
      </c>
      <c r="F8" s="10" t="s">
        <v>276</v>
      </c>
      <c r="G8" s="9" t="s">
        <v>35</v>
      </c>
      <c r="H8" s="9">
        <v>0</v>
      </c>
      <c r="I8" s="10"/>
    </row>
    <row r="9" spans="1:9" ht="42" customHeight="1" x14ac:dyDescent="0.35">
      <c r="A9" s="20" t="s">
        <v>61</v>
      </c>
      <c r="B9" s="27"/>
      <c r="C9" s="15" t="s">
        <v>57</v>
      </c>
      <c r="D9" s="10" t="s">
        <v>277</v>
      </c>
      <c r="E9" s="10" t="s">
        <v>278</v>
      </c>
      <c r="F9" s="10" t="s">
        <v>279</v>
      </c>
      <c r="G9" s="9" t="s">
        <v>35</v>
      </c>
      <c r="H9" s="9">
        <v>0</v>
      </c>
      <c r="I9" s="10"/>
    </row>
    <row r="10" spans="1:9" ht="42" customHeight="1" x14ac:dyDescent="0.35">
      <c r="A10" s="20"/>
      <c r="B10" s="20"/>
      <c r="C10" s="15" t="s">
        <v>58</v>
      </c>
      <c r="D10" s="10" t="s">
        <v>280</v>
      </c>
      <c r="E10" s="10" t="s">
        <v>281</v>
      </c>
      <c r="F10" s="10" t="s">
        <v>282</v>
      </c>
      <c r="G10" s="9" t="s">
        <v>35</v>
      </c>
      <c r="H10" s="9">
        <v>0</v>
      </c>
      <c r="I10" s="10"/>
    </row>
    <row r="11" spans="1:9" ht="42" customHeight="1" x14ac:dyDescent="0.35">
      <c r="A11" s="20"/>
      <c r="B11" s="20"/>
      <c r="C11" s="15" t="s">
        <v>59</v>
      </c>
      <c r="D11" s="10" t="s">
        <v>283</v>
      </c>
      <c r="E11" s="10" t="s">
        <v>284</v>
      </c>
      <c r="F11" s="10" t="s">
        <v>285</v>
      </c>
      <c r="G11" s="9" t="s">
        <v>35</v>
      </c>
      <c r="H11" s="9">
        <v>0</v>
      </c>
      <c r="I11" s="10"/>
    </row>
    <row r="12" spans="1:9" ht="42" customHeight="1" x14ac:dyDescent="0.35">
      <c r="A12" s="20"/>
      <c r="B12" s="20"/>
      <c r="C12" s="15" t="s">
        <v>60</v>
      </c>
      <c r="D12" s="10" t="s">
        <v>286</v>
      </c>
      <c r="E12" s="10" t="s">
        <v>287</v>
      </c>
      <c r="F12" s="10" t="s">
        <v>288</v>
      </c>
      <c r="G12" s="9" t="s">
        <v>35</v>
      </c>
      <c r="H12" s="9">
        <v>0</v>
      </c>
      <c r="I12" s="10"/>
    </row>
    <row r="13" spans="1:9" ht="42" customHeight="1" x14ac:dyDescent="0.35">
      <c r="A13" s="20" t="s">
        <v>63</v>
      </c>
      <c r="B13" s="27"/>
      <c r="C13" s="15" t="s">
        <v>57</v>
      </c>
      <c r="D13" s="10" t="s">
        <v>289</v>
      </c>
      <c r="E13" s="10" t="s">
        <v>290</v>
      </c>
      <c r="F13" s="10" t="s">
        <v>291</v>
      </c>
      <c r="G13" s="9" t="s">
        <v>35</v>
      </c>
      <c r="H13" s="9">
        <v>0</v>
      </c>
      <c r="I13" s="10"/>
    </row>
    <row r="14" spans="1:9" ht="42" customHeight="1" x14ac:dyDescent="0.35">
      <c r="A14" s="20"/>
      <c r="B14" s="20"/>
      <c r="C14" s="15" t="s">
        <v>58</v>
      </c>
      <c r="D14" s="10" t="s">
        <v>292</v>
      </c>
      <c r="E14" s="10" t="s">
        <v>293</v>
      </c>
      <c r="F14" s="10" t="s">
        <v>294</v>
      </c>
      <c r="G14" s="9" t="s">
        <v>35</v>
      </c>
      <c r="H14" s="9">
        <v>0</v>
      </c>
      <c r="I14" s="10"/>
    </row>
    <row r="15" spans="1:9" ht="42" customHeight="1" x14ac:dyDescent="0.35">
      <c r="A15" s="20"/>
      <c r="B15" s="20"/>
      <c r="C15" s="15" t="s">
        <v>59</v>
      </c>
      <c r="D15" s="10" t="s">
        <v>295</v>
      </c>
      <c r="E15" s="10" t="s">
        <v>296</v>
      </c>
      <c r="F15" s="10" t="s">
        <v>297</v>
      </c>
      <c r="G15" s="9" t="s">
        <v>35</v>
      </c>
      <c r="H15" s="9">
        <v>0</v>
      </c>
      <c r="I15" s="10"/>
    </row>
    <row r="16" spans="1:9" ht="42" customHeight="1" x14ac:dyDescent="0.35">
      <c r="A16" s="20"/>
      <c r="B16" s="20"/>
      <c r="C16" s="15" t="s">
        <v>60</v>
      </c>
      <c r="D16" s="10" t="s">
        <v>298</v>
      </c>
      <c r="E16" s="10" t="s">
        <v>299</v>
      </c>
      <c r="F16" s="10" t="s">
        <v>300</v>
      </c>
      <c r="G16" s="9" t="s">
        <v>35</v>
      </c>
      <c r="H16" s="9">
        <v>0</v>
      </c>
      <c r="I16" s="10"/>
    </row>
    <row r="17" spans="1:9" ht="42" customHeight="1" x14ac:dyDescent="0.35">
      <c r="A17" s="20" t="s">
        <v>64</v>
      </c>
      <c r="B17" s="27"/>
      <c r="C17" s="15" t="s">
        <v>57</v>
      </c>
      <c r="D17" s="10" t="s">
        <v>301</v>
      </c>
      <c r="E17" s="10" t="s">
        <v>302</v>
      </c>
      <c r="F17" s="10" t="s">
        <v>303</v>
      </c>
      <c r="G17" s="9" t="s">
        <v>35</v>
      </c>
      <c r="H17" s="9">
        <v>0</v>
      </c>
      <c r="I17" s="10"/>
    </row>
    <row r="18" spans="1:9" ht="42" customHeight="1" x14ac:dyDescent="0.35">
      <c r="A18" s="20"/>
      <c r="B18" s="20"/>
      <c r="C18" s="15" t="s">
        <v>58</v>
      </c>
      <c r="D18" s="10" t="s">
        <v>304</v>
      </c>
      <c r="E18" s="10" t="s">
        <v>305</v>
      </c>
      <c r="F18" s="10" t="s">
        <v>306</v>
      </c>
      <c r="G18" s="9" t="s">
        <v>35</v>
      </c>
      <c r="H18" s="9">
        <v>0</v>
      </c>
      <c r="I18" s="10"/>
    </row>
    <row r="19" spans="1:9" ht="42" customHeight="1" x14ac:dyDescent="0.35">
      <c r="A19" s="20"/>
      <c r="B19" s="20"/>
      <c r="C19" s="15" t="s">
        <v>59</v>
      </c>
      <c r="D19" s="10" t="s">
        <v>307</v>
      </c>
      <c r="E19" s="10" t="s">
        <v>308</v>
      </c>
      <c r="F19" s="10" t="s">
        <v>309</v>
      </c>
      <c r="G19" s="9" t="s">
        <v>35</v>
      </c>
      <c r="H19" s="9">
        <v>0</v>
      </c>
      <c r="I19" s="10"/>
    </row>
    <row r="20" spans="1:9" ht="42" customHeight="1" x14ac:dyDescent="0.35">
      <c r="A20" s="20"/>
      <c r="B20" s="20"/>
      <c r="C20" s="15" t="s">
        <v>60</v>
      </c>
      <c r="D20" s="10" t="s">
        <v>310</v>
      </c>
      <c r="E20" s="10" t="s">
        <v>311</v>
      </c>
      <c r="F20" s="10" t="s">
        <v>312</v>
      </c>
      <c r="G20" s="9" t="s">
        <v>35</v>
      </c>
      <c r="H20" s="9">
        <v>0</v>
      </c>
      <c r="I20" s="10"/>
    </row>
    <row r="21" spans="1:9" ht="42" customHeight="1" x14ac:dyDescent="0.35">
      <c r="A21" s="20" t="s">
        <v>65</v>
      </c>
      <c r="B21" s="27"/>
      <c r="C21" s="15" t="s">
        <v>57</v>
      </c>
      <c r="D21" s="10" t="s">
        <v>313</v>
      </c>
      <c r="E21" s="10" t="s">
        <v>314</v>
      </c>
      <c r="F21" s="10" t="s">
        <v>315</v>
      </c>
      <c r="G21" s="9" t="s">
        <v>35</v>
      </c>
      <c r="H21" s="9">
        <v>0</v>
      </c>
      <c r="I21" s="10"/>
    </row>
    <row r="22" spans="1:9" ht="42" customHeight="1" x14ac:dyDescent="0.35">
      <c r="A22" s="20"/>
      <c r="B22" s="20"/>
      <c r="C22" s="15" t="s">
        <v>58</v>
      </c>
      <c r="D22" s="10" t="s">
        <v>156</v>
      </c>
      <c r="E22" s="10" t="s">
        <v>316</v>
      </c>
      <c r="F22" s="10" t="s">
        <v>317</v>
      </c>
      <c r="G22" s="9" t="s">
        <v>35</v>
      </c>
      <c r="H22" s="9">
        <v>0</v>
      </c>
      <c r="I22" s="10"/>
    </row>
    <row r="23" spans="1:9" ht="42" customHeight="1" x14ac:dyDescent="0.35">
      <c r="A23" s="20"/>
      <c r="B23" s="20"/>
      <c r="C23" s="15" t="s">
        <v>59</v>
      </c>
      <c r="D23" s="10" t="s">
        <v>318</v>
      </c>
      <c r="E23" s="10" t="s">
        <v>319</v>
      </c>
      <c r="F23" s="10" t="s">
        <v>320</v>
      </c>
      <c r="G23" s="9" t="s">
        <v>35</v>
      </c>
      <c r="H23" s="9">
        <v>0</v>
      </c>
      <c r="I23" s="10"/>
    </row>
    <row r="24" spans="1:9" ht="42" customHeight="1" x14ac:dyDescent="0.35">
      <c r="A24" s="20"/>
      <c r="B24" s="20"/>
      <c r="C24" s="15" t="s">
        <v>60</v>
      </c>
      <c r="D24" s="10" t="s">
        <v>321</v>
      </c>
      <c r="E24" s="10" t="s">
        <v>322</v>
      </c>
      <c r="F24" s="10" t="s">
        <v>246</v>
      </c>
      <c r="G24" s="9" t="s">
        <v>35</v>
      </c>
      <c r="H24" s="9">
        <v>0</v>
      </c>
      <c r="I24" s="10"/>
    </row>
    <row r="25" spans="1:9" ht="42" customHeight="1" x14ac:dyDescent="0.35">
      <c r="A25" s="18" t="s">
        <v>66</v>
      </c>
      <c r="B25" s="26"/>
      <c r="C25" s="15" t="s">
        <v>57</v>
      </c>
      <c r="D25" s="10" t="s">
        <v>323</v>
      </c>
      <c r="E25" s="10" t="s">
        <v>324</v>
      </c>
      <c r="F25" s="10" t="s">
        <v>325</v>
      </c>
      <c r="G25" s="9" t="s">
        <v>35</v>
      </c>
      <c r="H25" s="9">
        <v>0</v>
      </c>
      <c r="I25" s="10"/>
    </row>
    <row r="26" spans="1:9" ht="42" customHeight="1" x14ac:dyDescent="0.35">
      <c r="A26" s="18"/>
      <c r="B26" s="18"/>
      <c r="C26" s="15" t="s">
        <v>58</v>
      </c>
      <c r="D26" s="10" t="s">
        <v>326</v>
      </c>
      <c r="E26" s="10" t="s">
        <v>327</v>
      </c>
      <c r="F26" s="10" t="s">
        <v>328</v>
      </c>
      <c r="G26" s="9" t="s">
        <v>35</v>
      </c>
      <c r="H26" s="9">
        <v>0</v>
      </c>
      <c r="I26" s="10"/>
    </row>
    <row r="27" spans="1:9" ht="42" customHeight="1" x14ac:dyDescent="0.35">
      <c r="A27" s="18"/>
      <c r="B27" s="18"/>
      <c r="C27" s="15" t="s">
        <v>59</v>
      </c>
      <c r="D27" s="10" t="s">
        <v>329</v>
      </c>
      <c r="E27" s="10" t="s">
        <v>330</v>
      </c>
      <c r="F27" s="10" t="s">
        <v>331</v>
      </c>
      <c r="G27" s="9" t="s">
        <v>35</v>
      </c>
      <c r="H27" s="9">
        <v>0</v>
      </c>
      <c r="I27" s="10"/>
    </row>
    <row r="28" spans="1:9" ht="42" customHeight="1" x14ac:dyDescent="0.35">
      <c r="A28" s="18"/>
      <c r="B28" s="18"/>
      <c r="C28" s="15" t="s">
        <v>60</v>
      </c>
      <c r="D28" s="10" t="s">
        <v>332</v>
      </c>
      <c r="E28" s="10" t="s">
        <v>333</v>
      </c>
      <c r="F28" s="10" t="s">
        <v>252</v>
      </c>
      <c r="G28" s="9" t="s">
        <v>35</v>
      </c>
      <c r="H28" s="9">
        <v>0</v>
      </c>
      <c r="I28" s="10"/>
    </row>
    <row r="29" spans="1:9" ht="42" customHeight="1" x14ac:dyDescent="0.35">
      <c r="A29" s="18"/>
      <c r="B29" s="18"/>
      <c r="C29" s="15" t="s">
        <v>67</v>
      </c>
      <c r="D29" s="10" t="s">
        <v>334</v>
      </c>
      <c r="E29" s="10" t="s">
        <v>335</v>
      </c>
      <c r="F29" s="10" t="s">
        <v>336</v>
      </c>
      <c r="G29" s="9" t="s">
        <v>35</v>
      </c>
      <c r="H29" s="9">
        <v>0</v>
      </c>
      <c r="I29" s="10"/>
    </row>
    <row r="30" spans="1:9" ht="42" customHeight="1" x14ac:dyDescent="0.35">
      <c r="A30" s="18"/>
      <c r="B30" s="18"/>
      <c r="C30" s="15" t="s">
        <v>68</v>
      </c>
      <c r="D30" s="10" t="s">
        <v>337</v>
      </c>
      <c r="E30" s="10" t="s">
        <v>338</v>
      </c>
      <c r="F30" s="10" t="s">
        <v>339</v>
      </c>
      <c r="G30" s="9" t="s">
        <v>35</v>
      </c>
      <c r="H30" s="9">
        <v>0</v>
      </c>
      <c r="I30" s="10"/>
    </row>
    <row r="31" spans="1:9" ht="42" customHeight="1" x14ac:dyDescent="0.35">
      <c r="A31" s="18" t="s">
        <v>69</v>
      </c>
      <c r="B31" s="26"/>
      <c r="C31" s="15" t="s">
        <v>57</v>
      </c>
      <c r="D31" s="10" t="s">
        <v>340</v>
      </c>
      <c r="E31" s="10" t="s">
        <v>341</v>
      </c>
      <c r="F31" s="10" t="s">
        <v>342</v>
      </c>
      <c r="G31" s="9" t="s">
        <v>35</v>
      </c>
      <c r="H31" s="9">
        <v>0</v>
      </c>
      <c r="I31" s="10"/>
    </row>
    <row r="32" spans="1:9" ht="42" customHeight="1" x14ac:dyDescent="0.35">
      <c r="A32" s="18"/>
      <c r="B32" s="18"/>
      <c r="C32" s="15" t="s">
        <v>58</v>
      </c>
      <c r="D32" s="10" t="s">
        <v>343</v>
      </c>
      <c r="E32" s="10" t="s">
        <v>344</v>
      </c>
      <c r="F32" s="10" t="s">
        <v>345</v>
      </c>
      <c r="G32" s="9" t="s">
        <v>35</v>
      </c>
      <c r="H32" s="9">
        <v>0</v>
      </c>
      <c r="I32" s="10"/>
    </row>
    <row r="33" spans="1:9" ht="42" customHeight="1" x14ac:dyDescent="0.35">
      <c r="A33" s="18"/>
      <c r="B33" s="18"/>
      <c r="C33" s="15" t="s">
        <v>59</v>
      </c>
      <c r="D33" s="10" t="s">
        <v>346</v>
      </c>
      <c r="E33" s="10" t="s">
        <v>347</v>
      </c>
      <c r="F33" s="10" t="s">
        <v>348</v>
      </c>
      <c r="G33" s="9" t="s">
        <v>35</v>
      </c>
      <c r="H33" s="9">
        <v>0</v>
      </c>
      <c r="I33" s="10"/>
    </row>
    <row r="34" spans="1:9" ht="42" customHeight="1" x14ac:dyDescent="0.35">
      <c r="A34" s="18"/>
      <c r="B34" s="18"/>
      <c r="C34" s="15" t="s">
        <v>60</v>
      </c>
      <c r="D34" s="10" t="s">
        <v>349</v>
      </c>
      <c r="E34" s="10" t="s">
        <v>350</v>
      </c>
      <c r="F34" s="10" t="s">
        <v>351</v>
      </c>
      <c r="G34" s="9" t="s">
        <v>35</v>
      </c>
      <c r="H34" s="9">
        <v>0</v>
      </c>
      <c r="I34" s="10"/>
    </row>
    <row r="35" spans="1:9" ht="42" customHeight="1" x14ac:dyDescent="0.35">
      <c r="A35" s="18"/>
      <c r="B35" s="18"/>
      <c r="C35" s="15" t="s">
        <v>67</v>
      </c>
      <c r="D35" s="10" t="s">
        <v>352</v>
      </c>
      <c r="E35" s="10" t="s">
        <v>353</v>
      </c>
      <c r="F35" s="10" t="s">
        <v>354</v>
      </c>
      <c r="G35" s="9" t="s">
        <v>35</v>
      </c>
      <c r="H35" s="9">
        <v>0</v>
      </c>
      <c r="I35" s="10"/>
    </row>
    <row r="36" spans="1:9" ht="42" customHeight="1" x14ac:dyDescent="0.35">
      <c r="A36" s="18"/>
      <c r="B36" s="18"/>
      <c r="C36" s="15" t="s">
        <v>68</v>
      </c>
      <c r="D36" s="10" t="s">
        <v>355</v>
      </c>
      <c r="E36" s="10" t="s">
        <v>356</v>
      </c>
      <c r="F36" s="10" t="s">
        <v>357</v>
      </c>
      <c r="G36" s="9" t="s">
        <v>35</v>
      </c>
      <c r="H36" s="9">
        <v>0</v>
      </c>
      <c r="I36" s="10"/>
    </row>
    <row r="38" spans="1:9" x14ac:dyDescent="0.35">
      <c r="A38" s="19" t="s">
        <v>70</v>
      </c>
      <c r="B38" s="19"/>
      <c r="C38" s="19"/>
      <c r="D38" s="19"/>
      <c r="E38" s="19"/>
      <c r="F38" s="19"/>
      <c r="G38" s="16" t="str">
        <f>COUNTIF(G5:G36, "Done") &amp; " / 32"</f>
        <v>0 / 32</v>
      </c>
      <c r="H38" s="16">
        <f>SUM(H5:H36)</f>
        <v>0</v>
      </c>
    </row>
  </sheetData>
  <mergeCells count="17">
    <mergeCell ref="A1:I1"/>
    <mergeCell ref="B2:C2"/>
    <mergeCell ref="A5:A8"/>
    <mergeCell ref="B5:B8"/>
    <mergeCell ref="A9:A12"/>
    <mergeCell ref="B9:B12"/>
    <mergeCell ref="A13:A16"/>
    <mergeCell ref="B13:B16"/>
    <mergeCell ref="A17:A20"/>
    <mergeCell ref="B17:B20"/>
    <mergeCell ref="A21:A24"/>
    <mergeCell ref="B21:B24"/>
    <mergeCell ref="A25:A30"/>
    <mergeCell ref="B25:B30"/>
    <mergeCell ref="A31:A36"/>
    <mergeCell ref="B31:B36"/>
    <mergeCell ref="A38:F38"/>
  </mergeCells>
  <conditionalFormatting sqref="G5:G36">
    <cfRule type="expression" dxfId="4" priority="2">
      <formula>$G5="Done"</formula>
    </cfRule>
    <cfRule type="expression" dxfId="3" priority="3">
      <formula>$G5="In Progress"</formula>
    </cfRule>
    <cfRule type="expression" dxfId="2" priority="4">
      <formula>$G5="Skipped"</formula>
    </cfRule>
  </conditionalFormatting>
  <dataValidations count="1">
    <dataValidation type="list" allowBlank="1" sqref="G5:G36" xr:uid="{00000000-0002-0000-0400-000000000000}">
      <formula1>"Not Started,In Progress,Done,Skipped"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7"/>
  <sheetViews>
    <sheetView zoomScaleNormal="100" workbookViewId="0">
      <pane ySplit="3" topLeftCell="A4" activePane="bottomLeft" state="frozen"/>
      <selection pane="bottomLeft" sqref="A1:G1"/>
    </sheetView>
  </sheetViews>
  <sheetFormatPr defaultColWidth="8.6328125" defaultRowHeight="14.5" x14ac:dyDescent="0.35"/>
  <cols>
    <col min="1" max="1" width="10" customWidth="1"/>
    <col min="2" max="2" width="28" customWidth="1"/>
    <col min="3" max="3" width="38" customWidth="1"/>
    <col min="4" max="4" width="22" customWidth="1"/>
    <col min="5" max="5" width="32" customWidth="1"/>
    <col min="6" max="6" width="14" customWidth="1"/>
    <col min="7" max="7" width="32" customWidth="1"/>
  </cols>
  <sheetData>
    <row r="1" spans="1:7" ht="30" customHeight="1" x14ac:dyDescent="0.35">
      <c r="A1" s="29" t="s">
        <v>358</v>
      </c>
      <c r="B1" s="29"/>
      <c r="C1" s="29"/>
      <c r="D1" s="29"/>
      <c r="E1" s="29"/>
      <c r="F1" s="29"/>
      <c r="G1" s="29"/>
    </row>
    <row r="3" spans="1:7" ht="21.75" customHeight="1" x14ac:dyDescent="0.35">
      <c r="A3" s="2" t="s">
        <v>10</v>
      </c>
      <c r="B3" s="2" t="s">
        <v>359</v>
      </c>
      <c r="C3" s="2" t="s">
        <v>28</v>
      </c>
      <c r="D3" s="2" t="s">
        <v>360</v>
      </c>
      <c r="E3" s="2" t="s">
        <v>29</v>
      </c>
      <c r="F3" s="2" t="s">
        <v>30</v>
      </c>
      <c r="G3" s="2" t="s">
        <v>361</v>
      </c>
    </row>
    <row r="4" spans="1:7" ht="69.75" customHeight="1" x14ac:dyDescent="0.35">
      <c r="A4" s="9" t="s">
        <v>16</v>
      </c>
      <c r="B4" s="10" t="s">
        <v>32</v>
      </c>
      <c r="C4" s="10" t="s">
        <v>33</v>
      </c>
      <c r="D4" s="10" t="s">
        <v>362</v>
      </c>
      <c r="E4" s="10" t="s">
        <v>34</v>
      </c>
      <c r="F4" s="9" t="s">
        <v>35</v>
      </c>
      <c r="G4" s="10"/>
    </row>
    <row r="5" spans="1:7" ht="69.75" customHeight="1" x14ac:dyDescent="0.35">
      <c r="A5" s="9" t="s">
        <v>18</v>
      </c>
      <c r="B5" s="10" t="s">
        <v>36</v>
      </c>
      <c r="C5" s="10" t="s">
        <v>37</v>
      </c>
      <c r="D5" s="10" t="s">
        <v>363</v>
      </c>
      <c r="E5" s="10" t="s">
        <v>38</v>
      </c>
      <c r="F5" s="9" t="s">
        <v>35</v>
      </c>
      <c r="G5" s="10"/>
    </row>
    <row r="6" spans="1:7" ht="69.75" customHeight="1" x14ac:dyDescent="0.35">
      <c r="A6" s="9" t="s">
        <v>20</v>
      </c>
      <c r="B6" s="10" t="s">
        <v>39</v>
      </c>
      <c r="C6" s="10" t="s">
        <v>40</v>
      </c>
      <c r="D6" s="10" t="s">
        <v>364</v>
      </c>
      <c r="E6" s="10" t="s">
        <v>41</v>
      </c>
      <c r="F6" s="9" t="s">
        <v>35</v>
      </c>
      <c r="G6" s="10"/>
    </row>
    <row r="7" spans="1:7" ht="69.75" customHeight="1" x14ac:dyDescent="0.35">
      <c r="A7" s="9" t="s">
        <v>22</v>
      </c>
      <c r="B7" s="10" t="s">
        <v>42</v>
      </c>
      <c r="C7" s="10" t="s">
        <v>43</v>
      </c>
      <c r="D7" s="10" t="s">
        <v>365</v>
      </c>
      <c r="E7" s="10" t="s">
        <v>44</v>
      </c>
      <c r="F7" s="9" t="s">
        <v>35</v>
      </c>
      <c r="G7" s="10"/>
    </row>
  </sheetData>
  <mergeCells count="1">
    <mergeCell ref="A1:G1"/>
  </mergeCells>
  <conditionalFormatting sqref="F4:F7">
    <cfRule type="expression" dxfId="1" priority="2">
      <formula>$F4="Done"</formula>
    </cfRule>
    <cfRule type="expression" dxfId="0" priority="3">
      <formula>$F4="In Progress"</formula>
    </cfRule>
  </conditionalFormatting>
  <dataValidations count="1">
    <dataValidation type="list" allowBlank="1" sqref="F4:F7" xr:uid="{00000000-0002-0000-0500-000000000000}">
      <formula1>"Not Started,In Progress,Done"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5"/>
  <sheetViews>
    <sheetView zoomScaleNormal="100" workbookViewId="0">
      <pane ySplit="3" topLeftCell="A4" activePane="bottomLeft" state="frozen"/>
      <selection pane="bottomLeft" sqref="A1:D1"/>
    </sheetView>
  </sheetViews>
  <sheetFormatPr defaultColWidth="8.6328125" defaultRowHeight="14.5" x14ac:dyDescent="0.35"/>
  <cols>
    <col min="1" max="1" width="20" customWidth="1"/>
    <col min="2" max="3" width="38" customWidth="1"/>
    <col min="4" max="4" width="50" customWidth="1"/>
  </cols>
  <sheetData>
    <row r="1" spans="1:4" ht="30" customHeight="1" x14ac:dyDescent="0.35">
      <c r="A1" s="29" t="s">
        <v>366</v>
      </c>
      <c r="B1" s="29"/>
      <c r="C1" s="29"/>
      <c r="D1" s="29"/>
    </row>
    <row r="3" spans="1:4" ht="21.75" customHeight="1" x14ac:dyDescent="0.35">
      <c r="A3" s="2" t="s">
        <v>367</v>
      </c>
      <c r="B3" s="2" t="s">
        <v>368</v>
      </c>
      <c r="C3" s="2" t="s">
        <v>369</v>
      </c>
      <c r="D3" s="2" t="s">
        <v>55</v>
      </c>
    </row>
    <row r="4" spans="1:4" x14ac:dyDescent="0.35">
      <c r="A4" s="17" t="s">
        <v>370</v>
      </c>
      <c r="B4" s="17" t="s">
        <v>110</v>
      </c>
      <c r="C4" s="17" t="s">
        <v>371</v>
      </c>
      <c r="D4" s="17" t="s">
        <v>372</v>
      </c>
    </row>
    <row r="5" spans="1:4" x14ac:dyDescent="0.35">
      <c r="A5" s="10" t="s">
        <v>370</v>
      </c>
      <c r="B5" s="10" t="s">
        <v>373</v>
      </c>
      <c r="C5" s="10" t="s">
        <v>374</v>
      </c>
      <c r="D5" s="10" t="s">
        <v>375</v>
      </c>
    </row>
    <row r="6" spans="1:4" x14ac:dyDescent="0.35">
      <c r="A6" s="17" t="s">
        <v>370</v>
      </c>
      <c r="B6" s="17" t="s">
        <v>376</v>
      </c>
      <c r="C6" s="17" t="s">
        <v>377</v>
      </c>
      <c r="D6" s="17" t="s">
        <v>378</v>
      </c>
    </row>
    <row r="7" spans="1:4" x14ac:dyDescent="0.35">
      <c r="A7" s="10" t="s">
        <v>370</v>
      </c>
      <c r="B7" s="10" t="s">
        <v>379</v>
      </c>
      <c r="C7" s="10" t="s">
        <v>380</v>
      </c>
      <c r="D7" s="10" t="s">
        <v>381</v>
      </c>
    </row>
    <row r="8" spans="1:4" x14ac:dyDescent="0.35">
      <c r="A8" s="17" t="s">
        <v>382</v>
      </c>
      <c r="B8" s="17" t="s">
        <v>383</v>
      </c>
      <c r="C8" s="17" t="s">
        <v>384</v>
      </c>
      <c r="D8" s="17" t="s">
        <v>385</v>
      </c>
    </row>
    <row r="9" spans="1:4" x14ac:dyDescent="0.35">
      <c r="A9" s="10" t="s">
        <v>382</v>
      </c>
      <c r="B9" s="10" t="s">
        <v>386</v>
      </c>
      <c r="C9" s="10" t="s">
        <v>387</v>
      </c>
      <c r="D9" s="10" t="s">
        <v>388</v>
      </c>
    </row>
    <row r="10" spans="1:4" x14ac:dyDescent="0.35">
      <c r="A10" s="17" t="s">
        <v>382</v>
      </c>
      <c r="B10" s="17" t="s">
        <v>389</v>
      </c>
      <c r="C10" s="17" t="s">
        <v>390</v>
      </c>
      <c r="D10" s="17" t="s">
        <v>391</v>
      </c>
    </row>
    <row r="11" spans="1:4" x14ac:dyDescent="0.35">
      <c r="A11" s="10" t="s">
        <v>382</v>
      </c>
      <c r="B11" s="10" t="s">
        <v>392</v>
      </c>
      <c r="C11" s="10" t="s">
        <v>393</v>
      </c>
      <c r="D11" s="10" t="s">
        <v>394</v>
      </c>
    </row>
    <row r="12" spans="1:4" x14ac:dyDescent="0.35">
      <c r="A12" s="17" t="s">
        <v>382</v>
      </c>
      <c r="B12" s="17" t="s">
        <v>395</v>
      </c>
      <c r="C12" s="17" t="s">
        <v>396</v>
      </c>
      <c r="D12" s="17" t="s">
        <v>397</v>
      </c>
    </row>
    <row r="13" spans="1:4" x14ac:dyDescent="0.35">
      <c r="A13" s="10" t="s">
        <v>398</v>
      </c>
      <c r="B13" s="10" t="s">
        <v>399</v>
      </c>
      <c r="C13" s="10" t="s">
        <v>400</v>
      </c>
      <c r="D13" s="10" t="s">
        <v>401</v>
      </c>
    </row>
    <row r="14" spans="1:4" x14ac:dyDescent="0.35">
      <c r="A14" s="17" t="s">
        <v>398</v>
      </c>
      <c r="B14" s="17" t="s">
        <v>402</v>
      </c>
      <c r="C14" s="17" t="s">
        <v>403</v>
      </c>
      <c r="D14" s="17" t="s">
        <v>404</v>
      </c>
    </row>
    <row r="15" spans="1:4" x14ac:dyDescent="0.35">
      <c r="A15" s="10" t="s">
        <v>398</v>
      </c>
      <c r="B15" s="10" t="s">
        <v>405</v>
      </c>
      <c r="C15" s="10" t="s">
        <v>406</v>
      </c>
      <c r="D15" s="10" t="s">
        <v>407</v>
      </c>
    </row>
    <row r="16" spans="1:4" x14ac:dyDescent="0.35">
      <c r="A16" s="17" t="s">
        <v>398</v>
      </c>
      <c r="B16" s="17" t="s">
        <v>313</v>
      </c>
      <c r="C16" s="17" t="s">
        <v>408</v>
      </c>
      <c r="D16" s="17" t="s">
        <v>409</v>
      </c>
    </row>
    <row r="17" spans="1:4" x14ac:dyDescent="0.35">
      <c r="A17" s="10" t="s">
        <v>410</v>
      </c>
      <c r="B17" s="10" t="s">
        <v>411</v>
      </c>
      <c r="C17" s="10" t="s">
        <v>412</v>
      </c>
      <c r="D17" s="10" t="s">
        <v>413</v>
      </c>
    </row>
    <row r="18" spans="1:4" x14ac:dyDescent="0.35">
      <c r="A18" s="17" t="s">
        <v>410</v>
      </c>
      <c r="B18" s="17" t="s">
        <v>414</v>
      </c>
      <c r="C18" s="17" t="s">
        <v>415</v>
      </c>
      <c r="D18" s="17" t="s">
        <v>416</v>
      </c>
    </row>
    <row r="19" spans="1:4" x14ac:dyDescent="0.35">
      <c r="A19" s="10" t="s">
        <v>410</v>
      </c>
      <c r="B19" s="10" t="s">
        <v>62</v>
      </c>
      <c r="C19" s="10" t="s">
        <v>417</v>
      </c>
      <c r="D19" s="10" t="s">
        <v>418</v>
      </c>
    </row>
    <row r="20" spans="1:4" x14ac:dyDescent="0.35">
      <c r="A20" s="17" t="s">
        <v>419</v>
      </c>
      <c r="B20" s="17" t="s">
        <v>420</v>
      </c>
      <c r="C20" s="17" t="s">
        <v>421</v>
      </c>
      <c r="D20" s="17" t="s">
        <v>422</v>
      </c>
    </row>
    <row r="21" spans="1:4" x14ac:dyDescent="0.35">
      <c r="A21" s="10" t="s">
        <v>419</v>
      </c>
      <c r="B21" s="10" t="s">
        <v>174</v>
      </c>
      <c r="C21" s="10" t="s">
        <v>423</v>
      </c>
      <c r="D21" s="10" t="s">
        <v>424</v>
      </c>
    </row>
    <row r="22" spans="1:4" x14ac:dyDescent="0.35">
      <c r="A22" s="17" t="s">
        <v>419</v>
      </c>
      <c r="B22" s="17" t="s">
        <v>425</v>
      </c>
      <c r="C22" s="17" t="s">
        <v>426</v>
      </c>
      <c r="D22" s="17" t="s">
        <v>427</v>
      </c>
    </row>
    <row r="23" spans="1:4" x14ac:dyDescent="0.35">
      <c r="A23" s="10" t="s">
        <v>419</v>
      </c>
      <c r="B23" s="10" t="s">
        <v>428</v>
      </c>
      <c r="C23" s="10" t="s">
        <v>429</v>
      </c>
      <c r="D23" s="10" t="s">
        <v>430</v>
      </c>
    </row>
    <row r="24" spans="1:4" x14ac:dyDescent="0.35">
      <c r="A24" s="17" t="s">
        <v>431</v>
      </c>
      <c r="B24" s="17" t="s">
        <v>222</v>
      </c>
      <c r="C24" s="17" t="s">
        <v>432</v>
      </c>
      <c r="D24" s="17" t="s">
        <v>433</v>
      </c>
    </row>
    <row r="25" spans="1:4" x14ac:dyDescent="0.35">
      <c r="A25" s="10" t="s">
        <v>431</v>
      </c>
      <c r="B25" s="10" t="s">
        <v>434</v>
      </c>
      <c r="C25" s="10" t="s">
        <v>435</v>
      </c>
      <c r="D25" s="10" t="s">
        <v>436</v>
      </c>
    </row>
    <row r="26" spans="1:4" x14ac:dyDescent="0.35">
      <c r="A26" s="17" t="s">
        <v>431</v>
      </c>
      <c r="B26" s="17" t="s">
        <v>437</v>
      </c>
      <c r="C26" s="17" t="s">
        <v>438</v>
      </c>
      <c r="D26" s="17" t="s">
        <v>439</v>
      </c>
    </row>
    <row r="27" spans="1:4" x14ac:dyDescent="0.35">
      <c r="A27" s="10" t="s">
        <v>440</v>
      </c>
      <c r="B27" s="10" t="s">
        <v>301</v>
      </c>
      <c r="C27" s="10" t="s">
        <v>441</v>
      </c>
      <c r="D27" s="10" t="s">
        <v>442</v>
      </c>
    </row>
    <row r="28" spans="1:4" x14ac:dyDescent="0.35">
      <c r="A28" s="17" t="s">
        <v>440</v>
      </c>
      <c r="B28" s="17" t="s">
        <v>304</v>
      </c>
      <c r="C28" s="17" t="s">
        <v>443</v>
      </c>
      <c r="D28" s="17" t="s">
        <v>444</v>
      </c>
    </row>
    <row r="29" spans="1:4" x14ac:dyDescent="0.35">
      <c r="A29" s="10" t="s">
        <v>440</v>
      </c>
      <c r="B29" s="10" t="s">
        <v>445</v>
      </c>
      <c r="C29" s="10" t="s">
        <v>445</v>
      </c>
      <c r="D29" s="10" t="s">
        <v>446</v>
      </c>
    </row>
    <row r="30" spans="1:4" x14ac:dyDescent="0.35">
      <c r="A30" s="17" t="s">
        <v>340</v>
      </c>
      <c r="B30" s="17" t="s">
        <v>268</v>
      </c>
      <c r="C30" s="17" t="s">
        <v>447</v>
      </c>
      <c r="D30" s="17" t="s">
        <v>448</v>
      </c>
    </row>
    <row r="31" spans="1:4" x14ac:dyDescent="0.35">
      <c r="A31" s="10" t="s">
        <v>340</v>
      </c>
      <c r="B31" s="10" t="s">
        <v>271</v>
      </c>
      <c r="C31" s="10" t="s">
        <v>449</v>
      </c>
      <c r="D31" s="10" t="s">
        <v>450</v>
      </c>
    </row>
    <row r="32" spans="1:4" x14ac:dyDescent="0.35">
      <c r="A32" s="17" t="s">
        <v>340</v>
      </c>
      <c r="B32" s="17" t="s">
        <v>451</v>
      </c>
      <c r="C32" s="17" t="s">
        <v>452</v>
      </c>
      <c r="D32" s="17" t="s">
        <v>453</v>
      </c>
    </row>
    <row r="33" spans="1:4" x14ac:dyDescent="0.35">
      <c r="A33" s="10" t="s">
        <v>454</v>
      </c>
      <c r="B33" s="10" t="s">
        <v>455</v>
      </c>
      <c r="C33" s="10" t="s">
        <v>456</v>
      </c>
      <c r="D33" s="10" t="s">
        <v>457</v>
      </c>
    </row>
    <row r="34" spans="1:4" x14ac:dyDescent="0.35">
      <c r="A34" s="17" t="s">
        <v>454</v>
      </c>
      <c r="B34" s="17" t="s">
        <v>458</v>
      </c>
      <c r="C34" s="17" t="s">
        <v>459</v>
      </c>
      <c r="D34" s="17" t="s">
        <v>460</v>
      </c>
    </row>
    <row r="35" spans="1:4" x14ac:dyDescent="0.35">
      <c r="A35" s="10" t="s">
        <v>454</v>
      </c>
      <c r="B35" s="10" t="s">
        <v>461</v>
      </c>
      <c r="C35" s="10" t="s">
        <v>374</v>
      </c>
      <c r="D35" s="10" t="s">
        <v>462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Week 1</vt:lpstr>
      <vt:lpstr>Week 2</vt:lpstr>
      <vt:lpstr>Week 3</vt:lpstr>
      <vt:lpstr>Week 4</vt:lpstr>
      <vt:lpstr>Projects</vt:lpstr>
      <vt:lpstr>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Varia, Neelanshi Atul</cp:lastModifiedBy>
  <cp:revision>0</cp:revision>
  <dcterms:created xsi:type="dcterms:W3CDTF">2026-06-08T15:06:24Z</dcterms:created>
  <dcterms:modified xsi:type="dcterms:W3CDTF">2026-07-01T16:39:37Z</dcterms:modified>
  <dc:language>en-US</dc:language>
</cp:coreProperties>
</file>